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40171708\Documents\"/>
    </mc:Choice>
  </mc:AlternateContent>
  <xr:revisionPtr revIDLastSave="0" documentId="8_{7333F9E5-28E4-4B35-906D-D6E78FB75FAA}" xr6:coauthVersionLast="37" xr6:coauthVersionMax="37" xr10:uidLastSave="{00000000-0000-0000-0000-000000000000}"/>
  <bookViews>
    <workbookView xWindow="-120" yWindow="-120" windowWidth="29040" windowHeight="15840" activeTab="3" xr2:uid="{00000000-000D-0000-FFFF-FFFF00000000}"/>
  </bookViews>
  <sheets>
    <sheet name="Soal 1" sheetId="8" r:id="rId1"/>
    <sheet name="Soal 2" sheetId="7" r:id="rId2"/>
    <sheet name="Soal 3" sheetId="11" r:id="rId3"/>
    <sheet name="Soal 4" sheetId="9" r:id="rId4"/>
    <sheet name="1" sheetId="13" state="hidden" r:id="rId5"/>
    <sheet name="2" sheetId="14" state="hidden" r:id="rId6"/>
    <sheet name="3" sheetId="17" state="hidden" r:id="rId7"/>
    <sheet name="4" sheetId="15" state="hidden" r:id="rId8"/>
  </sheets>
  <calcPr calcId="179021"/>
</workbook>
</file>

<file path=xl/calcChain.xml><?xml version="1.0" encoding="utf-8"?>
<calcChain xmlns="http://schemas.openxmlformats.org/spreadsheetml/2006/main">
  <c r="H26" i="9" l="1"/>
  <c r="H25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11" i="9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16" i="7"/>
  <c r="I24" i="11"/>
  <c r="I23" i="11"/>
  <c r="I15" i="11"/>
  <c r="I16" i="11"/>
  <c r="I17" i="11"/>
  <c r="I18" i="11"/>
  <c r="I19" i="11"/>
  <c r="I20" i="11"/>
  <c r="I21" i="11"/>
  <c r="I22" i="11"/>
  <c r="I14" i="11"/>
  <c r="H15" i="11"/>
  <c r="H16" i="11"/>
  <c r="H17" i="11"/>
  <c r="H18" i="11"/>
  <c r="H19" i="11"/>
  <c r="H20" i="11"/>
  <c r="H21" i="11"/>
  <c r="H22" i="11"/>
  <c r="H14" i="11"/>
  <c r="G15" i="11"/>
  <c r="G16" i="11"/>
  <c r="G17" i="11"/>
  <c r="G18" i="11"/>
  <c r="G19" i="11"/>
  <c r="G20" i="11"/>
  <c r="G21" i="11"/>
  <c r="G22" i="11"/>
  <c r="G14" i="11"/>
  <c r="L10" i="8" l="1"/>
  <c r="K10" i="8"/>
  <c r="J10" i="8"/>
  <c r="I10" i="8"/>
  <c r="H10" i="8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16" i="7"/>
  <c r="L25" i="8"/>
  <c r="L24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10" i="8"/>
  <c r="I24" i="17" l="1"/>
  <c r="I23" i="17"/>
  <c r="H25" i="15"/>
  <c r="G11" i="15"/>
  <c r="H11" i="15" s="1"/>
  <c r="L25" i="13"/>
  <c r="H22" i="17"/>
  <c r="G22" i="17"/>
  <c r="H21" i="17"/>
  <c r="G21" i="17"/>
  <c r="I21" i="17" s="1"/>
  <c r="H20" i="17"/>
  <c r="G20" i="17"/>
  <c r="I20" i="17" s="1"/>
  <c r="H19" i="17"/>
  <c r="I19" i="17" s="1"/>
  <c r="G19" i="17"/>
  <c r="H18" i="17"/>
  <c r="I18" i="17" s="1"/>
  <c r="G18" i="17"/>
  <c r="H17" i="17"/>
  <c r="G17" i="17"/>
  <c r="I17" i="17" s="1"/>
  <c r="H16" i="17"/>
  <c r="G16" i="17"/>
  <c r="I16" i="17" s="1"/>
  <c r="H15" i="17"/>
  <c r="G15" i="17"/>
  <c r="H14" i="17"/>
  <c r="G14" i="17"/>
  <c r="H26" i="15"/>
  <c r="G24" i="15"/>
  <c r="H24" i="15" s="1"/>
  <c r="G23" i="15"/>
  <c r="H23" i="15" s="1"/>
  <c r="G22" i="15"/>
  <c r="H22" i="15" s="1"/>
  <c r="G21" i="15"/>
  <c r="H21" i="15" s="1"/>
  <c r="H20" i="15"/>
  <c r="G20" i="15"/>
  <c r="G19" i="15"/>
  <c r="H19" i="15" s="1"/>
  <c r="G18" i="15"/>
  <c r="H18" i="15" s="1"/>
  <c r="G17" i="15"/>
  <c r="H17" i="15" s="1"/>
  <c r="G16" i="15"/>
  <c r="H16" i="15" s="1"/>
  <c r="G15" i="15"/>
  <c r="H15" i="15" s="1"/>
  <c r="G14" i="15"/>
  <c r="H14" i="15" s="1"/>
  <c r="G13" i="15"/>
  <c r="H13" i="15" s="1"/>
  <c r="H12" i="15"/>
  <c r="G12" i="15"/>
  <c r="K28" i="14"/>
  <c r="J28" i="14"/>
  <c r="E28" i="14" s="1"/>
  <c r="G28" i="14"/>
  <c r="K27" i="14"/>
  <c r="G27" i="14" s="1"/>
  <c r="J27" i="14"/>
  <c r="E27" i="14" s="1"/>
  <c r="K26" i="14"/>
  <c r="G26" i="14" s="1"/>
  <c r="J26" i="14"/>
  <c r="E26" i="14" s="1"/>
  <c r="K25" i="14"/>
  <c r="G25" i="14" s="1"/>
  <c r="J25" i="14"/>
  <c r="E25" i="14" s="1"/>
  <c r="K24" i="14"/>
  <c r="G24" i="14" s="1"/>
  <c r="J24" i="14"/>
  <c r="E24" i="14" s="1"/>
  <c r="K23" i="14"/>
  <c r="G23" i="14" s="1"/>
  <c r="J23" i="14"/>
  <c r="E23" i="14" s="1"/>
  <c r="K22" i="14"/>
  <c r="J22" i="14"/>
  <c r="E22" i="14" s="1"/>
  <c r="G22" i="14"/>
  <c r="K21" i="14"/>
  <c r="G21" i="14" s="1"/>
  <c r="J21" i="14"/>
  <c r="E21" i="14" s="1"/>
  <c r="K20" i="14"/>
  <c r="G20" i="14" s="1"/>
  <c r="J20" i="14"/>
  <c r="E20" i="14" s="1"/>
  <c r="K19" i="14"/>
  <c r="G19" i="14" s="1"/>
  <c r="J19" i="14"/>
  <c r="E19" i="14" s="1"/>
  <c r="K18" i="14"/>
  <c r="J18" i="14"/>
  <c r="E18" i="14" s="1"/>
  <c r="G18" i="14"/>
  <c r="K17" i="14"/>
  <c r="G17" i="14" s="1"/>
  <c r="J17" i="14"/>
  <c r="E17" i="14" s="1"/>
  <c r="K16" i="14"/>
  <c r="J16" i="14"/>
  <c r="E16" i="14" s="1"/>
  <c r="G16" i="14"/>
  <c r="K15" i="14"/>
  <c r="G15" i="14" s="1"/>
  <c r="J15" i="14"/>
  <c r="E15" i="14" s="1"/>
  <c r="H23" i="13"/>
  <c r="G23" i="13"/>
  <c r="H22" i="13"/>
  <c r="G22" i="13"/>
  <c r="H21" i="13"/>
  <c r="G21" i="13"/>
  <c r="I21" i="13" s="1"/>
  <c r="J21" i="13" s="1"/>
  <c r="H20" i="13"/>
  <c r="G20" i="13"/>
  <c r="I20" i="13" s="1"/>
  <c r="J20" i="13" s="1"/>
  <c r="H19" i="13"/>
  <c r="G19" i="13"/>
  <c r="I19" i="13" s="1"/>
  <c r="J19" i="13" s="1"/>
  <c r="H18" i="13"/>
  <c r="G18" i="13"/>
  <c r="H17" i="13"/>
  <c r="G17" i="13"/>
  <c r="I17" i="13" s="1"/>
  <c r="J17" i="13" s="1"/>
  <c r="H16" i="13"/>
  <c r="G16" i="13"/>
  <c r="H15" i="13"/>
  <c r="G15" i="13"/>
  <c r="H14" i="13"/>
  <c r="G14" i="13"/>
  <c r="H13" i="13"/>
  <c r="G13" i="13"/>
  <c r="I13" i="13" s="1"/>
  <c r="J13" i="13" s="1"/>
  <c r="H12" i="13"/>
  <c r="G12" i="13"/>
  <c r="H11" i="13"/>
  <c r="G11" i="13"/>
  <c r="I11" i="13" s="1"/>
  <c r="K11" i="13" s="1"/>
  <c r="H10" i="13"/>
  <c r="G10" i="13"/>
  <c r="J11" i="13" l="1"/>
  <c r="I22" i="13"/>
  <c r="J22" i="13" s="1"/>
  <c r="I16" i="13"/>
  <c r="J16" i="13" s="1"/>
  <c r="I10" i="13"/>
  <c r="J10" i="13" s="1"/>
  <c r="I14" i="13"/>
  <c r="J14" i="13" s="1"/>
  <c r="I18" i="13"/>
  <c r="J18" i="13" s="1"/>
  <c r="I15" i="13"/>
  <c r="J15" i="13" s="1"/>
  <c r="I14" i="17"/>
  <c r="I23" i="13"/>
  <c r="I22" i="17"/>
  <c r="I12" i="13"/>
  <c r="I15" i="17"/>
  <c r="K21" i="13"/>
  <c r="L21" i="13" s="1"/>
  <c r="K18" i="13"/>
  <c r="L18" i="13" s="1"/>
  <c r="K15" i="13"/>
  <c r="L15" i="13" s="1"/>
  <c r="K20" i="13"/>
  <c r="L20" i="13" s="1"/>
  <c r="K16" i="13"/>
  <c r="L16" i="13" s="1"/>
  <c r="K13" i="13"/>
  <c r="L13" i="13" s="1"/>
  <c r="K17" i="13"/>
  <c r="L17" i="13" s="1"/>
  <c r="K19" i="13"/>
  <c r="L19" i="13" s="1"/>
  <c r="L11" i="13"/>
  <c r="K14" i="13" l="1"/>
  <c r="L14" i="13" s="1"/>
  <c r="K10" i="13"/>
  <c r="L10" i="13" s="1"/>
  <c r="L24" i="13" s="1"/>
  <c r="K12" i="13"/>
  <c r="L12" i="13" s="1"/>
  <c r="J12" i="13"/>
  <c r="K23" i="13"/>
  <c r="L23" i="13" s="1"/>
  <c r="J23" i="13"/>
  <c r="K22" i="13"/>
  <c r="L22" i="13" s="1"/>
</calcChain>
</file>

<file path=xl/sharedStrings.xml><?xml version="1.0" encoding="utf-8"?>
<sst xmlns="http://schemas.openxmlformats.org/spreadsheetml/2006/main" count="313" uniqueCount="125">
  <si>
    <t>Kelas</t>
  </si>
  <si>
    <t>Keterangan</t>
  </si>
  <si>
    <t>No.</t>
  </si>
  <si>
    <r>
      <rPr>
        <b/>
        <sz val="11"/>
        <color theme="1"/>
        <rFont val="Times New Roman"/>
        <family val="1"/>
      </rPr>
      <t xml:space="preserve">Biaya persalinan </t>
    </r>
    <r>
      <rPr>
        <sz val="11"/>
        <color theme="1"/>
        <rFont val="Times New Roman"/>
        <family val="1"/>
      </rPr>
      <t xml:space="preserve">diisi berdasarkan </t>
    </r>
    <r>
      <rPr>
        <b/>
        <sz val="11"/>
        <color theme="1"/>
        <rFont val="Times New Roman"/>
        <family val="1"/>
      </rPr>
      <t>penanganan</t>
    </r>
    <r>
      <rPr>
        <sz val="11"/>
        <color theme="1"/>
        <rFont val="Times New Roman"/>
        <family val="1"/>
      </rPr>
      <t xml:space="preserve"> dengan ketentuan :</t>
    </r>
  </si>
  <si>
    <t>- Apabila ditangani Dokter = 100.000</t>
  </si>
  <si>
    <t>- Apabila ditangani Bidan = 75.000</t>
  </si>
  <si>
    <r>
      <rPr>
        <b/>
        <sz val="11"/>
        <color theme="1"/>
        <rFont val="Times New Roman"/>
        <family val="1"/>
      </rPr>
      <t>Biaya inap</t>
    </r>
    <r>
      <rPr>
        <sz val="11"/>
        <color theme="1"/>
        <rFont val="Times New Roman"/>
        <family val="1"/>
      </rPr>
      <t xml:space="preserve"> diisi berdasarkan </t>
    </r>
    <r>
      <rPr>
        <b/>
        <sz val="11"/>
        <color theme="1"/>
        <rFont val="Times New Roman"/>
        <family val="1"/>
      </rPr>
      <t>Kelas</t>
    </r>
    <r>
      <rPr>
        <sz val="11"/>
        <color theme="1"/>
        <rFont val="Times New Roman"/>
        <family val="1"/>
      </rPr>
      <t xml:space="preserve"> dengan ketentuan :</t>
    </r>
  </si>
  <si>
    <t>- Kelas A = 300.000</t>
  </si>
  <si>
    <t>- Kelas B = 200.000</t>
  </si>
  <si>
    <t>- Kelas C = 100.000</t>
  </si>
  <si>
    <t>Nama Pasien</t>
  </si>
  <si>
    <t>Penanganan</t>
  </si>
  <si>
    <t>Biaya Persalinan</t>
  </si>
  <si>
    <t>Mulan J</t>
  </si>
  <si>
    <t>A</t>
  </si>
  <si>
    <t>Bidan</t>
  </si>
  <si>
    <t>Ayu Ashari</t>
  </si>
  <si>
    <t>C</t>
  </si>
  <si>
    <t>Asmirandah</t>
  </si>
  <si>
    <t>B</t>
  </si>
  <si>
    <t>Dokter</t>
  </si>
  <si>
    <t>Des R</t>
  </si>
  <si>
    <t>Maia</t>
  </si>
  <si>
    <t>Titi DJ</t>
  </si>
  <si>
    <t>Ayu Tingting</t>
  </si>
  <si>
    <t>Marsanda</t>
  </si>
  <si>
    <t>Nia R</t>
  </si>
  <si>
    <t>Agus</t>
  </si>
  <si>
    <t>Bambang</t>
  </si>
  <si>
    <t>Ragil</t>
  </si>
  <si>
    <t>Satria</t>
  </si>
  <si>
    <t>Yanto</t>
  </si>
  <si>
    <t>Zukri</t>
  </si>
  <si>
    <t>Zulfa</t>
  </si>
  <si>
    <t>Deni</t>
  </si>
  <si>
    <t>Dadang</t>
  </si>
  <si>
    <t>Yudi</t>
  </si>
  <si>
    <t>Adi</t>
  </si>
  <si>
    <t>Tika</t>
  </si>
  <si>
    <t>Yuri</t>
  </si>
  <si>
    <t>Ruri</t>
  </si>
  <si>
    <r>
      <rPr>
        <b/>
        <sz val="11"/>
        <color theme="1"/>
        <rFont val="Times New Roman"/>
        <family val="1"/>
      </rPr>
      <t>Prosentase komisi</t>
    </r>
    <r>
      <rPr>
        <sz val="11"/>
        <color theme="1"/>
        <rFont val="Times New Roman"/>
        <family val="1"/>
      </rPr>
      <t xml:space="preserve"> dihitung dengan ketentuan sebagai berikut :</t>
    </r>
  </si>
  <si>
    <t>- Jika nilai penjualan Rp. 5000.000 ke atas, maka prosentase komisinya 10%</t>
  </si>
  <si>
    <t>- Jika nilai penjualan lebih dari Rp.3000.000 dan kurang dari Rp. 5.000.000, maka prosentase komisinya 5%</t>
  </si>
  <si>
    <t>- Jika nilai penjualan Rp. 3.000.000 ke bawah, maka prosentase komisinya 2%</t>
  </si>
  <si>
    <t>LAPORAN KOMISI SALES</t>
  </si>
  <si>
    <t>Nama</t>
  </si>
  <si>
    <t>Masa Kerja (Th)</t>
  </si>
  <si>
    <t>Nilai Penjualan</t>
  </si>
  <si>
    <t>Prosentase Komisi</t>
  </si>
  <si>
    <t>Jumlah Komisi (Rp.)</t>
  </si>
  <si>
    <t>Elsa</t>
  </si>
  <si>
    <t>Andik</t>
  </si>
  <si>
    <t>Heri</t>
  </si>
  <si>
    <t>Ria</t>
  </si>
  <si>
    <t>Leni</t>
  </si>
  <si>
    <t>Vivi</t>
  </si>
  <si>
    <t>Rusi</t>
  </si>
  <si>
    <t>Ruli</t>
  </si>
  <si>
    <t>Ilyas</t>
  </si>
  <si>
    <t>Yasa</t>
  </si>
  <si>
    <t>Bejo</t>
  </si>
  <si>
    <t>Slamet</t>
  </si>
  <si>
    <t>Untung</t>
  </si>
  <si>
    <t>Nilai Penjualan terbanyak =</t>
  </si>
  <si>
    <t>Pajak diisi dengan ketentuan :</t>
  </si>
  <si>
    <t xml:space="preserve">- Upah kotor diatas Rp. 700.000, pajak 5% </t>
  </si>
  <si>
    <t>- Upah kotor kurang dari Rp. 700.000, pajak 2%</t>
  </si>
  <si>
    <t>Jam Kerja</t>
  </si>
  <si>
    <t>Jam Lembur</t>
  </si>
  <si>
    <t>Upah Kerja (Rp. 10.000/jam)</t>
  </si>
  <si>
    <t>Upah Lembur (Rp. 15.000/jam)</t>
  </si>
  <si>
    <t>Total Upah (Kotor)</t>
  </si>
  <si>
    <t>Pajak (Rp.)</t>
  </si>
  <si>
    <t>Total Upah (Netto)</t>
  </si>
  <si>
    <t>Total Upah Seluruh karyawan =</t>
  </si>
  <si>
    <r>
      <rPr>
        <b/>
        <sz val="11"/>
        <color theme="1"/>
        <rFont val="Times New Roman"/>
        <family val="1"/>
      </rPr>
      <t>Tujuan</t>
    </r>
    <r>
      <rPr>
        <sz val="11"/>
        <color theme="1"/>
        <rFont val="Times New Roman"/>
        <family val="1"/>
      </rPr>
      <t xml:space="preserve"> diisi berdasarkan kode paket dengan ketentuan :</t>
    </r>
  </si>
  <si>
    <r>
      <rPr>
        <b/>
        <sz val="11"/>
        <color theme="1"/>
        <rFont val="Times New Roman"/>
        <family val="1"/>
      </rPr>
      <t>Kategori</t>
    </r>
    <r>
      <rPr>
        <sz val="11"/>
        <color theme="1"/>
        <rFont val="Times New Roman"/>
        <family val="1"/>
      </rPr>
      <t xml:space="preserve"> diisi berdasarkan kode paket dengan ketentuan :</t>
    </r>
  </si>
  <si>
    <t>DAFTAR PESANAN PAKET LIBURAN</t>
  </si>
  <si>
    <t>Kode Paket</t>
  </si>
  <si>
    <t>Tujuan</t>
  </si>
  <si>
    <t>Jumlah Peserta</t>
  </si>
  <si>
    <t>Kategori</t>
  </si>
  <si>
    <t>Harga per peserta</t>
  </si>
  <si>
    <t>BL-001-BS</t>
  </si>
  <si>
    <t>BL-003-IS</t>
  </si>
  <si>
    <t>BD-002-BS</t>
  </si>
  <si>
    <t>BD-001-IS</t>
  </si>
  <si>
    <t>LB-001-BS</t>
  </si>
  <si>
    <t>BD-002-IS</t>
  </si>
  <si>
    <t>BL-001-IS</t>
  </si>
  <si>
    <t>LB-001-IS</t>
  </si>
  <si>
    <t>DAFTAR UPAH KARYAWAN</t>
  </si>
  <si>
    <t xml:space="preserve">KLINIK PERSALINAN </t>
  </si>
  <si>
    <t>BL</t>
  </si>
  <si>
    <t>BD</t>
  </si>
  <si>
    <t>LB</t>
  </si>
  <si>
    <t>Bali</t>
  </si>
  <si>
    <t>Bandung</t>
  </si>
  <si>
    <t>Lombok</t>
  </si>
  <si>
    <t>Kode</t>
  </si>
  <si>
    <t>BS</t>
  </si>
  <si>
    <t>IS</t>
  </si>
  <si>
    <t>Biasa</t>
  </si>
  <si>
    <t>Istimewa</t>
  </si>
  <si>
    <t>Kode
Tujuan</t>
  </si>
  <si>
    <t>Kode
Kategori</t>
  </si>
  <si>
    <t>Penjualan</t>
  </si>
  <si>
    <t>Komisi</t>
  </si>
  <si>
    <t xml:space="preserve">&lt; Rp 3 jt </t>
  </si>
  <si>
    <t>Rp 3 jt - Rp 5jt</t>
  </si>
  <si>
    <r>
      <rPr>
        <sz val="12"/>
        <color theme="1"/>
        <rFont val="Calibri"/>
        <family val="2"/>
      </rPr>
      <t>≥</t>
    </r>
    <r>
      <rPr>
        <sz val="12"/>
        <color theme="1"/>
        <rFont val="Times New Roman"/>
        <family val="1"/>
      </rPr>
      <t xml:space="preserve"> 5 jt</t>
    </r>
  </si>
  <si>
    <t>Code</t>
  </si>
  <si>
    <t>Total Biaya / Hari</t>
  </si>
  <si>
    <t>Biaya Inap / Hari</t>
  </si>
  <si>
    <t>Berapa total biaya / hari yang didapatkan dari kelas C</t>
  </si>
  <si>
    <t>Pajak (%)</t>
  </si>
  <si>
    <t>Jumlah upah karyawan yang lembur lebih dari (&gt;) 15 jam =</t>
  </si>
  <si>
    <t>Jumlah Total Komisi =</t>
  </si>
  <si>
    <t>Berapa jumlah biaya persalinan yang ditangani oleh Bidan</t>
  </si>
  <si>
    <t xml:space="preserve">Kelas </t>
  </si>
  <si>
    <t>Biaya Inap</t>
  </si>
  <si>
    <t>&gt;500000</t>
  </si>
  <si>
    <t>3000000-5000000</t>
  </si>
  <si>
    <t>&lt;3000000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</si>
</sst>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&quot;Rp&quot;* #,##0_);_(&quot;Rp&quot;* \(#,##0\);_(&quot;Rp&quot;* &quot;-&quot;_);_(@_)"/>
    <numFmt numFmtId="166" formatCode="_(* #,##0_);_(* \(#,##0\);_(* &quot;-&quot;??_);_(@_)"/>
    <numFmt numFmtId="168" formatCode="&quot;Rp&quot;#,##0.00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165" fontId="1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9" fontId="1" fillId="0" borderId="2" xfId="1" applyFont="1" applyBorder="1" applyAlignment="1">
      <alignment horizontal="center"/>
    </xf>
    <xf numFmtId="0" fontId="1" fillId="0" borderId="2" xfId="0" quotePrefix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3" fillId="0" borderId="2" xfId="0" applyFont="1" applyBorder="1"/>
    <xf numFmtId="166" fontId="3" fillId="0" borderId="2" xfId="2" applyNumberFormat="1" applyFont="1" applyBorder="1"/>
    <xf numFmtId="9" fontId="3" fillId="0" borderId="2" xfId="0" applyNumberFormat="1" applyFont="1" applyBorder="1"/>
    <xf numFmtId="0" fontId="7" fillId="0" borderId="2" xfId="0" applyFont="1" applyBorder="1"/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8" fontId="1" fillId="0" borderId="2" xfId="0" applyNumberFormat="1" applyFont="1" applyBorder="1" applyAlignment="1">
      <alignment horizontal="center"/>
    </xf>
    <xf numFmtId="9" fontId="3" fillId="0" borderId="0" xfId="0" applyNumberFormat="1" applyFont="1"/>
  </cellXfs>
  <cellStyles count="3">
    <cellStyle name="Comma" xfId="2" builtinId="3"/>
    <cellStyle name="Normal" xfId="0" builtinId="0"/>
    <cellStyle name="Percent" xfId="1" builtinId="5"/>
  </cellStyles>
  <dxfs count="1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B7C8-581B-4FA6-B9A4-4E83397DB85B}">
  <dimension ref="C2:S30"/>
  <sheetViews>
    <sheetView showGridLines="0" topLeftCell="A4" zoomScale="90" zoomScaleNormal="90" workbookViewId="0">
      <selection activeCell="L11" sqref="L11"/>
    </sheetView>
  </sheetViews>
  <sheetFormatPr defaultRowHeight="15.5" x14ac:dyDescent="0.35"/>
  <cols>
    <col min="1" max="2" width="2.453125" customWidth="1"/>
    <col min="3" max="3" width="4.453125" style="1" customWidth="1"/>
    <col min="4" max="4" width="13.1796875" style="1" customWidth="1"/>
    <col min="5" max="6" width="10.26953125" style="1" customWidth="1"/>
    <col min="7" max="7" width="16.54296875" style="1" customWidth="1"/>
    <col min="8" max="8" width="16.1796875" style="1" customWidth="1"/>
    <col min="9" max="10" width="14.81640625" style="1" customWidth="1"/>
    <col min="11" max="11" width="16.1796875" style="1" customWidth="1"/>
    <col min="12" max="12" width="15.26953125" style="1" customWidth="1"/>
    <col min="13" max="13" width="3.81640625" style="2" customWidth="1"/>
    <col min="14" max="17" width="9.1796875" style="2"/>
  </cols>
  <sheetData>
    <row r="2" spans="3:19" s="2" customFormat="1" x14ac:dyDescent="0.35">
      <c r="C2" s="10" t="s">
        <v>1</v>
      </c>
      <c r="D2" s="1"/>
      <c r="E2" s="1"/>
      <c r="F2" s="1"/>
      <c r="G2" s="1"/>
      <c r="H2" s="1"/>
      <c r="I2" s="11"/>
      <c r="J2" s="11"/>
      <c r="K2" s="12"/>
      <c r="L2" s="1"/>
      <c r="R2"/>
      <c r="S2"/>
    </row>
    <row r="3" spans="3:19" s="2" customFormat="1" x14ac:dyDescent="0.35">
      <c r="C3" s="10">
        <v>1</v>
      </c>
      <c r="D3" s="10" t="s">
        <v>65</v>
      </c>
      <c r="E3" s="3"/>
      <c r="F3" s="3"/>
      <c r="G3" s="3"/>
      <c r="H3" s="1"/>
      <c r="K3" s="12"/>
      <c r="L3" s="1"/>
      <c r="R3"/>
      <c r="S3"/>
    </row>
    <row r="4" spans="3:19" x14ac:dyDescent="0.35">
      <c r="C4" s="10"/>
      <c r="D4" s="4" t="s">
        <v>66</v>
      </c>
      <c r="E4" s="3"/>
      <c r="F4" s="3"/>
      <c r="G4" s="3"/>
      <c r="I4" s="2"/>
      <c r="J4" s="2"/>
    </row>
    <row r="5" spans="3:19" s="2" customFormat="1" x14ac:dyDescent="0.35">
      <c r="C5" s="10"/>
      <c r="D5" s="4" t="s">
        <v>67</v>
      </c>
      <c r="E5" s="3"/>
      <c r="F5" s="3"/>
      <c r="G5" s="3"/>
      <c r="H5" s="1"/>
      <c r="K5" s="1"/>
      <c r="L5" s="1"/>
      <c r="R5"/>
      <c r="S5"/>
    </row>
    <row r="6" spans="3:19" s="2" customFormat="1" x14ac:dyDescent="0.35">
      <c r="H6" s="3"/>
      <c r="K6" s="3"/>
      <c r="L6" s="1"/>
    </row>
    <row r="7" spans="3:19" s="2" customFormat="1" x14ac:dyDescent="0.35">
      <c r="C7" s="30" t="s">
        <v>92</v>
      </c>
      <c r="D7" s="30"/>
      <c r="E7" s="30"/>
      <c r="F7" s="30"/>
      <c r="G7" s="30"/>
      <c r="H7" s="30"/>
      <c r="I7" s="30"/>
      <c r="J7" s="30"/>
      <c r="K7" s="30"/>
      <c r="L7" s="30"/>
    </row>
    <row r="9" spans="3:19" s="2" customFormat="1" ht="36" customHeight="1" x14ac:dyDescent="0.35">
      <c r="C9" s="13" t="s">
        <v>2</v>
      </c>
      <c r="D9" s="14" t="s">
        <v>46</v>
      </c>
      <c r="E9" s="14" t="s">
        <v>68</v>
      </c>
      <c r="F9" s="14" t="s">
        <v>69</v>
      </c>
      <c r="G9" s="14" t="s">
        <v>70</v>
      </c>
      <c r="H9" s="14" t="s">
        <v>71</v>
      </c>
      <c r="I9" s="14" t="s">
        <v>72</v>
      </c>
      <c r="J9" s="14" t="s">
        <v>116</v>
      </c>
      <c r="K9" s="14" t="s">
        <v>73</v>
      </c>
      <c r="L9" s="14" t="s">
        <v>74</v>
      </c>
      <c r="N9" s="11"/>
    </row>
    <row r="10" spans="3:19" s="2" customFormat="1" x14ac:dyDescent="0.35">
      <c r="C10" s="6">
        <v>1</v>
      </c>
      <c r="D10" s="7" t="s">
        <v>27</v>
      </c>
      <c r="E10" s="6">
        <v>45</v>
      </c>
      <c r="F10" s="6">
        <v>15</v>
      </c>
      <c r="G10" s="8">
        <f>E10*10000</f>
        <v>450000</v>
      </c>
      <c r="H10" s="8">
        <f>F10*15000</f>
        <v>225000</v>
      </c>
      <c r="I10" s="8">
        <f>G10+H10</f>
        <v>675000</v>
      </c>
      <c r="J10" s="15">
        <f>IF(I10&gt;700000,5%,2%)</f>
        <v>0.02</v>
      </c>
      <c r="K10" s="8">
        <f>I10+I10*2</f>
        <v>2025000</v>
      </c>
      <c r="L10" s="8">
        <f>I10-K10</f>
        <v>-1350000</v>
      </c>
    </row>
    <row r="11" spans="3:19" s="2" customFormat="1" x14ac:dyDescent="0.35">
      <c r="C11" s="6">
        <v>2</v>
      </c>
      <c r="D11" s="7" t="s">
        <v>28</v>
      </c>
      <c r="E11" s="6">
        <v>48</v>
      </c>
      <c r="F11" s="6">
        <v>17</v>
      </c>
      <c r="G11" s="8">
        <f t="shared" ref="G11:G23" si="0">E11*10000</f>
        <v>480000</v>
      </c>
      <c r="H11" s="8">
        <f t="shared" ref="H11:H23" si="1">F11*15000</f>
        <v>255000</v>
      </c>
      <c r="I11" s="8">
        <f t="shared" ref="I11:I23" si="2">G11+H11</f>
        <v>735000</v>
      </c>
      <c r="J11" s="15">
        <f t="shared" ref="J11:J23" si="3">IF(I11&gt;700000,5%,2%)</f>
        <v>0.05</v>
      </c>
      <c r="K11" s="8">
        <f t="shared" ref="K11:K23" si="4">I11+I11*2</f>
        <v>2205000</v>
      </c>
      <c r="L11" s="8">
        <f t="shared" ref="L11:L23" si="5">I11-K11</f>
        <v>-1470000</v>
      </c>
    </row>
    <row r="12" spans="3:19" s="2" customFormat="1" x14ac:dyDescent="0.35">
      <c r="C12" s="6">
        <v>3</v>
      </c>
      <c r="D12" s="7" t="s">
        <v>29</v>
      </c>
      <c r="E12" s="6">
        <v>47</v>
      </c>
      <c r="F12" s="6">
        <v>14</v>
      </c>
      <c r="G12" s="8">
        <f t="shared" si="0"/>
        <v>470000</v>
      </c>
      <c r="H12" s="8">
        <f t="shared" si="1"/>
        <v>210000</v>
      </c>
      <c r="I12" s="8">
        <f t="shared" si="2"/>
        <v>680000</v>
      </c>
      <c r="J12" s="15">
        <f t="shared" si="3"/>
        <v>0.02</v>
      </c>
      <c r="K12" s="8">
        <f t="shared" si="4"/>
        <v>2040000</v>
      </c>
      <c r="L12" s="8">
        <f t="shared" si="5"/>
        <v>-1360000</v>
      </c>
    </row>
    <row r="13" spans="3:19" s="2" customFormat="1" x14ac:dyDescent="0.35">
      <c r="C13" s="6">
        <v>4</v>
      </c>
      <c r="D13" s="7" t="s">
        <v>30</v>
      </c>
      <c r="E13" s="6">
        <v>50</v>
      </c>
      <c r="F13" s="6">
        <v>16</v>
      </c>
      <c r="G13" s="8">
        <f t="shared" si="0"/>
        <v>500000</v>
      </c>
      <c r="H13" s="8">
        <f t="shared" si="1"/>
        <v>240000</v>
      </c>
      <c r="I13" s="8">
        <f t="shared" si="2"/>
        <v>740000</v>
      </c>
      <c r="J13" s="15">
        <f t="shared" si="3"/>
        <v>0.05</v>
      </c>
      <c r="K13" s="8">
        <f t="shared" si="4"/>
        <v>2220000</v>
      </c>
      <c r="L13" s="8">
        <f t="shared" si="5"/>
        <v>-1480000</v>
      </c>
    </row>
    <row r="14" spans="3:19" s="2" customFormat="1" x14ac:dyDescent="0.35">
      <c r="C14" s="6">
        <v>5</v>
      </c>
      <c r="D14" s="7" t="s">
        <v>31</v>
      </c>
      <c r="E14" s="6">
        <v>45</v>
      </c>
      <c r="F14" s="6">
        <v>14</v>
      </c>
      <c r="G14" s="8">
        <f t="shared" si="0"/>
        <v>450000</v>
      </c>
      <c r="H14" s="8">
        <f t="shared" si="1"/>
        <v>210000</v>
      </c>
      <c r="I14" s="8">
        <f t="shared" si="2"/>
        <v>660000</v>
      </c>
      <c r="J14" s="15">
        <f t="shared" si="3"/>
        <v>0.02</v>
      </c>
      <c r="K14" s="8">
        <f t="shared" si="4"/>
        <v>1980000</v>
      </c>
      <c r="L14" s="8">
        <f t="shared" si="5"/>
        <v>-1320000</v>
      </c>
    </row>
    <row r="15" spans="3:19" s="2" customFormat="1" x14ac:dyDescent="0.35">
      <c r="C15" s="6">
        <v>6</v>
      </c>
      <c r="D15" s="7" t="s">
        <v>32</v>
      </c>
      <c r="E15" s="6">
        <v>48</v>
      </c>
      <c r="F15" s="6">
        <v>14</v>
      </c>
      <c r="G15" s="8">
        <f t="shared" si="0"/>
        <v>480000</v>
      </c>
      <c r="H15" s="8">
        <f t="shared" si="1"/>
        <v>210000</v>
      </c>
      <c r="I15" s="8">
        <f t="shared" si="2"/>
        <v>690000</v>
      </c>
      <c r="J15" s="15">
        <f t="shared" si="3"/>
        <v>0.02</v>
      </c>
      <c r="K15" s="8">
        <f t="shared" si="4"/>
        <v>2070000</v>
      </c>
      <c r="L15" s="8">
        <f t="shared" si="5"/>
        <v>-1380000</v>
      </c>
    </row>
    <row r="16" spans="3:19" s="2" customFormat="1" x14ac:dyDescent="0.35">
      <c r="C16" s="6">
        <v>7</v>
      </c>
      <c r="D16" s="7" t="s">
        <v>33</v>
      </c>
      <c r="E16" s="6">
        <v>50</v>
      </c>
      <c r="F16" s="6">
        <v>15</v>
      </c>
      <c r="G16" s="8">
        <f t="shared" si="0"/>
        <v>500000</v>
      </c>
      <c r="H16" s="8">
        <f t="shared" si="1"/>
        <v>225000</v>
      </c>
      <c r="I16" s="8">
        <f t="shared" si="2"/>
        <v>725000</v>
      </c>
      <c r="J16" s="15">
        <f t="shared" si="3"/>
        <v>0.05</v>
      </c>
      <c r="K16" s="8">
        <f t="shared" si="4"/>
        <v>2175000</v>
      </c>
      <c r="L16" s="8">
        <f t="shared" si="5"/>
        <v>-1450000</v>
      </c>
    </row>
    <row r="17" spans="3:12" s="2" customFormat="1" x14ac:dyDescent="0.35">
      <c r="C17" s="6">
        <v>8</v>
      </c>
      <c r="D17" s="7" t="s">
        <v>34</v>
      </c>
      <c r="E17" s="6">
        <v>47</v>
      </c>
      <c r="F17" s="6">
        <v>14</v>
      </c>
      <c r="G17" s="8">
        <f t="shared" si="0"/>
        <v>470000</v>
      </c>
      <c r="H17" s="8">
        <f t="shared" si="1"/>
        <v>210000</v>
      </c>
      <c r="I17" s="8">
        <f t="shared" si="2"/>
        <v>680000</v>
      </c>
      <c r="J17" s="15">
        <f t="shared" si="3"/>
        <v>0.02</v>
      </c>
      <c r="K17" s="8">
        <f t="shared" si="4"/>
        <v>2040000</v>
      </c>
      <c r="L17" s="8">
        <f t="shared" si="5"/>
        <v>-1360000</v>
      </c>
    </row>
    <row r="18" spans="3:12" s="2" customFormat="1" x14ac:dyDescent="0.35">
      <c r="C18" s="6">
        <v>9</v>
      </c>
      <c r="D18" s="7" t="s">
        <v>35</v>
      </c>
      <c r="E18" s="6">
        <v>47</v>
      </c>
      <c r="F18" s="6">
        <v>14</v>
      </c>
      <c r="G18" s="8">
        <f t="shared" si="0"/>
        <v>470000</v>
      </c>
      <c r="H18" s="8">
        <f t="shared" si="1"/>
        <v>210000</v>
      </c>
      <c r="I18" s="8">
        <f t="shared" si="2"/>
        <v>680000</v>
      </c>
      <c r="J18" s="15">
        <f t="shared" si="3"/>
        <v>0.02</v>
      </c>
      <c r="K18" s="8">
        <f t="shared" si="4"/>
        <v>2040000</v>
      </c>
      <c r="L18" s="8">
        <f t="shared" si="5"/>
        <v>-1360000</v>
      </c>
    </row>
    <row r="19" spans="3:12" s="2" customFormat="1" x14ac:dyDescent="0.35">
      <c r="C19" s="6">
        <v>10</v>
      </c>
      <c r="D19" s="7" t="s">
        <v>36</v>
      </c>
      <c r="E19" s="6">
        <v>48</v>
      </c>
      <c r="F19" s="6">
        <v>16</v>
      </c>
      <c r="G19" s="8">
        <f t="shared" si="0"/>
        <v>480000</v>
      </c>
      <c r="H19" s="8">
        <f t="shared" si="1"/>
        <v>240000</v>
      </c>
      <c r="I19" s="8">
        <f t="shared" si="2"/>
        <v>720000</v>
      </c>
      <c r="J19" s="15">
        <f t="shared" si="3"/>
        <v>0.05</v>
      </c>
      <c r="K19" s="8">
        <f t="shared" si="4"/>
        <v>2160000</v>
      </c>
      <c r="L19" s="8">
        <f t="shared" si="5"/>
        <v>-1440000</v>
      </c>
    </row>
    <row r="20" spans="3:12" s="2" customFormat="1" x14ac:dyDescent="0.35">
      <c r="C20" s="6">
        <v>11</v>
      </c>
      <c r="D20" s="7" t="s">
        <v>37</v>
      </c>
      <c r="E20" s="6">
        <v>47</v>
      </c>
      <c r="F20" s="6">
        <v>16</v>
      </c>
      <c r="G20" s="8">
        <f t="shared" si="0"/>
        <v>470000</v>
      </c>
      <c r="H20" s="8">
        <f t="shared" si="1"/>
        <v>240000</v>
      </c>
      <c r="I20" s="8">
        <f t="shared" si="2"/>
        <v>710000</v>
      </c>
      <c r="J20" s="15">
        <f t="shared" si="3"/>
        <v>0.05</v>
      </c>
      <c r="K20" s="8">
        <f t="shared" si="4"/>
        <v>2130000</v>
      </c>
      <c r="L20" s="8">
        <f t="shared" si="5"/>
        <v>-1420000</v>
      </c>
    </row>
    <row r="21" spans="3:12" s="2" customFormat="1" x14ac:dyDescent="0.35">
      <c r="C21" s="6">
        <v>12</v>
      </c>
      <c r="D21" s="7" t="s">
        <v>38</v>
      </c>
      <c r="E21" s="6">
        <v>46</v>
      </c>
      <c r="F21" s="6">
        <v>17</v>
      </c>
      <c r="G21" s="8">
        <f t="shared" si="0"/>
        <v>460000</v>
      </c>
      <c r="H21" s="8">
        <f t="shared" si="1"/>
        <v>255000</v>
      </c>
      <c r="I21" s="8">
        <f t="shared" si="2"/>
        <v>715000</v>
      </c>
      <c r="J21" s="15">
        <f t="shared" si="3"/>
        <v>0.05</v>
      </c>
      <c r="K21" s="8">
        <f t="shared" si="4"/>
        <v>2145000</v>
      </c>
      <c r="L21" s="8">
        <f t="shared" si="5"/>
        <v>-1430000</v>
      </c>
    </row>
    <row r="22" spans="3:12" s="2" customFormat="1" x14ac:dyDescent="0.35">
      <c r="C22" s="6">
        <v>13</v>
      </c>
      <c r="D22" s="7" t="s">
        <v>39</v>
      </c>
      <c r="E22" s="6">
        <v>45</v>
      </c>
      <c r="F22" s="6">
        <v>19</v>
      </c>
      <c r="G22" s="8">
        <f t="shared" si="0"/>
        <v>450000</v>
      </c>
      <c r="H22" s="8">
        <f t="shared" si="1"/>
        <v>285000</v>
      </c>
      <c r="I22" s="8">
        <f t="shared" si="2"/>
        <v>735000</v>
      </c>
      <c r="J22" s="15">
        <f t="shared" si="3"/>
        <v>0.05</v>
      </c>
      <c r="K22" s="8">
        <f t="shared" si="4"/>
        <v>2205000</v>
      </c>
      <c r="L22" s="8">
        <f t="shared" si="5"/>
        <v>-1470000</v>
      </c>
    </row>
    <row r="23" spans="3:12" s="2" customFormat="1" x14ac:dyDescent="0.35">
      <c r="C23" s="6">
        <v>14</v>
      </c>
      <c r="D23" s="7" t="s">
        <v>40</v>
      </c>
      <c r="E23" s="6">
        <v>50</v>
      </c>
      <c r="F23" s="6">
        <v>14</v>
      </c>
      <c r="G23" s="8">
        <f t="shared" si="0"/>
        <v>500000</v>
      </c>
      <c r="H23" s="8">
        <f t="shared" si="1"/>
        <v>210000</v>
      </c>
      <c r="I23" s="8">
        <f t="shared" si="2"/>
        <v>710000</v>
      </c>
      <c r="J23" s="15">
        <f t="shared" si="3"/>
        <v>0.05</v>
      </c>
      <c r="K23" s="8">
        <f t="shared" si="4"/>
        <v>2130000</v>
      </c>
      <c r="L23" s="8">
        <f t="shared" si="5"/>
        <v>-1420000</v>
      </c>
    </row>
    <row r="24" spans="3:12" s="2" customFormat="1" x14ac:dyDescent="0.35">
      <c r="C24" s="31" t="s">
        <v>75</v>
      </c>
      <c r="D24" s="31"/>
      <c r="E24" s="31"/>
      <c r="F24" s="31"/>
      <c r="G24" s="31"/>
      <c r="H24" s="31"/>
      <c r="I24" s="31"/>
      <c r="J24" s="31"/>
      <c r="K24" s="31"/>
      <c r="L24" s="9">
        <f>SUM(L10:L23)</f>
        <v>-19710000</v>
      </c>
    </row>
    <row r="25" spans="3:12" s="2" customFormat="1" x14ac:dyDescent="0.35">
      <c r="C25" s="31" t="s">
        <v>117</v>
      </c>
      <c r="D25" s="31"/>
      <c r="E25" s="31"/>
      <c r="F25" s="31"/>
      <c r="G25" s="31"/>
      <c r="H25" s="31"/>
      <c r="I25" s="31"/>
      <c r="J25" s="31"/>
      <c r="K25" s="31"/>
      <c r="L25" s="9">
        <f>SUM(L11,L13,L19,L20,L21,L22)</f>
        <v>-8710000</v>
      </c>
    </row>
    <row r="26" spans="3:12" s="2" customFormat="1" x14ac:dyDescent="0.35">
      <c r="C26" s="3"/>
      <c r="D26" s="3"/>
      <c r="E26" s="1"/>
      <c r="F26" s="1"/>
      <c r="G26" s="1"/>
      <c r="H26" s="1"/>
      <c r="I26" s="1"/>
      <c r="J26" s="1"/>
      <c r="K26" s="1"/>
      <c r="L26" s="1"/>
    </row>
    <row r="27" spans="3:12" s="2" customFormat="1" x14ac:dyDescent="0.35">
      <c r="C27" s="3"/>
      <c r="D27" s="3"/>
      <c r="E27" s="1"/>
      <c r="F27" s="1"/>
      <c r="G27" s="1"/>
      <c r="H27" s="1"/>
      <c r="I27" s="1"/>
      <c r="J27" s="1"/>
      <c r="K27" s="1"/>
      <c r="L27" s="1"/>
    </row>
    <row r="28" spans="3:12" s="2" customFormat="1" x14ac:dyDescent="0.35">
      <c r="C28" s="3"/>
      <c r="D28" s="3"/>
      <c r="E28" s="1"/>
      <c r="F28" s="1"/>
      <c r="G28" s="1"/>
      <c r="H28" s="1"/>
      <c r="I28" s="1"/>
      <c r="J28" s="1"/>
      <c r="K28" s="1"/>
      <c r="L28" s="1"/>
    </row>
    <row r="29" spans="3:12" s="2" customFormat="1" x14ac:dyDescent="0.35">
      <c r="C29" s="3"/>
      <c r="D29" s="3"/>
      <c r="E29" s="1"/>
      <c r="F29" s="1"/>
      <c r="G29" s="1"/>
      <c r="H29" s="1"/>
      <c r="I29" s="1"/>
      <c r="J29" s="1"/>
      <c r="K29" s="1"/>
      <c r="L29" s="1"/>
    </row>
    <row r="30" spans="3:12" s="2" customFormat="1" x14ac:dyDescent="0.35">
      <c r="C30" s="3"/>
      <c r="D30" s="3"/>
      <c r="E30" s="1"/>
      <c r="F30" s="1"/>
      <c r="G30" s="1"/>
      <c r="H30" s="1"/>
      <c r="I30" s="1"/>
      <c r="J30" s="1"/>
      <c r="K30" s="1"/>
      <c r="L30" s="1"/>
    </row>
  </sheetData>
  <mergeCells count="3">
    <mergeCell ref="C7:L7"/>
    <mergeCell ref="C24:K24"/>
    <mergeCell ref="C25:K25"/>
  </mergeCells>
  <conditionalFormatting sqref="G10:L23">
    <cfRule type="containsBlanks" dxfId="12" priority="2">
      <formula>LEN(TRIM(G10))=0</formula>
    </cfRule>
  </conditionalFormatting>
  <conditionalFormatting sqref="L24:L25">
    <cfRule type="containsBlanks" dxfId="11" priority="1">
      <formula>LEN(TRIM(L24))=0</formula>
    </cfRule>
  </conditionalFormatting>
  <pageMargins left="0.57999999999999996" right="0.2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97EF-6DFE-4495-9C09-0C1FFC29D6F4}">
  <dimension ref="C1:M38"/>
  <sheetViews>
    <sheetView showGridLines="0" zoomScale="70" zoomScaleNormal="70" workbookViewId="0">
      <selection activeCell="K16" sqref="K16:K29"/>
    </sheetView>
  </sheetViews>
  <sheetFormatPr defaultRowHeight="15.5" outlineLevelCol="1" x14ac:dyDescent="0.35"/>
  <cols>
    <col min="1" max="1" width="4.26953125" customWidth="1"/>
    <col min="2" max="2" width="6.81640625" customWidth="1"/>
    <col min="3" max="3" width="4.453125" style="1" customWidth="1"/>
    <col min="4" max="4" width="15.7265625" style="1" customWidth="1"/>
    <col min="5" max="5" width="12" style="1" customWidth="1"/>
    <col min="6" max="6" width="10.7265625" style="1" customWidth="1"/>
    <col min="7" max="7" width="16.7265625" style="1" customWidth="1"/>
    <col min="8" max="8" width="16.1796875" style="1" customWidth="1"/>
    <col min="9" max="9" width="10.1796875" style="2" customWidth="1"/>
    <col min="10" max="11" width="9.1796875" style="2" customWidth="1" outlineLevel="1"/>
    <col min="12" max="13" width="9.1796875" style="2"/>
  </cols>
  <sheetData>
    <row r="1" spans="3:11" ht="9" customHeight="1" x14ac:dyDescent="0.35"/>
    <row r="2" spans="3:11" s="2" customFormat="1" x14ac:dyDescent="0.35">
      <c r="C2" s="10" t="s">
        <v>1</v>
      </c>
      <c r="D2" s="1"/>
      <c r="E2" s="1"/>
      <c r="F2" s="1"/>
      <c r="G2" s="1"/>
      <c r="H2" s="1"/>
    </row>
    <row r="3" spans="3:11" s="2" customFormat="1" x14ac:dyDescent="0.35">
      <c r="C3" s="10">
        <v>1</v>
      </c>
      <c r="D3" s="3" t="s">
        <v>76</v>
      </c>
      <c r="E3" s="3"/>
      <c r="F3" s="3"/>
      <c r="G3" s="3"/>
      <c r="H3" s="3"/>
    </row>
    <row r="4" spans="3:11" s="2" customFormat="1" x14ac:dyDescent="0.35">
      <c r="C4" s="10"/>
      <c r="D4" s="18" t="s">
        <v>100</v>
      </c>
      <c r="E4" s="5" t="s">
        <v>80</v>
      </c>
      <c r="F4" s="3"/>
      <c r="H4" s="3"/>
    </row>
    <row r="5" spans="3:11" s="2" customFormat="1" x14ac:dyDescent="0.35">
      <c r="C5" s="10"/>
      <c r="D5" s="16" t="s">
        <v>94</v>
      </c>
      <c r="E5" s="17" t="s">
        <v>97</v>
      </c>
      <c r="F5" s="3"/>
      <c r="G5" s="3"/>
      <c r="H5" s="3"/>
    </row>
    <row r="6" spans="3:11" s="2" customFormat="1" x14ac:dyDescent="0.35">
      <c r="C6" s="10"/>
      <c r="D6" s="16" t="s">
        <v>95</v>
      </c>
      <c r="E6" s="17" t="s">
        <v>98</v>
      </c>
      <c r="F6" s="3"/>
      <c r="G6" s="3"/>
      <c r="H6" s="3"/>
    </row>
    <row r="7" spans="3:11" s="2" customFormat="1" x14ac:dyDescent="0.35">
      <c r="C7" s="10"/>
      <c r="D7" s="16" t="s">
        <v>96</v>
      </c>
      <c r="E7" s="17" t="s">
        <v>99</v>
      </c>
      <c r="F7" s="3"/>
      <c r="G7" s="3"/>
      <c r="H7" s="3"/>
    </row>
    <row r="8" spans="3:11" s="2" customFormat="1" ht="7.5" customHeight="1" x14ac:dyDescent="0.35">
      <c r="C8" s="10"/>
      <c r="D8" s="25"/>
      <c r="E8" s="26"/>
      <c r="F8" s="3"/>
      <c r="G8" s="3"/>
      <c r="H8" s="3"/>
    </row>
    <row r="9" spans="3:11" s="2" customFormat="1" x14ac:dyDescent="0.35">
      <c r="C9" s="10">
        <v>2</v>
      </c>
      <c r="D9" s="4" t="s">
        <v>77</v>
      </c>
      <c r="E9" s="3"/>
      <c r="F9" s="3"/>
      <c r="G9" s="3"/>
      <c r="H9" s="3"/>
    </row>
    <row r="10" spans="3:11" s="2" customFormat="1" x14ac:dyDescent="0.35">
      <c r="C10" s="10"/>
      <c r="D10" s="18" t="s">
        <v>100</v>
      </c>
      <c r="E10" s="16" t="s">
        <v>101</v>
      </c>
      <c r="F10" s="16" t="s">
        <v>102</v>
      </c>
      <c r="G10" s="3"/>
    </row>
    <row r="11" spans="3:11" s="2" customFormat="1" x14ac:dyDescent="0.35">
      <c r="C11" s="10"/>
      <c r="D11" s="5" t="s">
        <v>82</v>
      </c>
      <c r="E11" s="17" t="s">
        <v>103</v>
      </c>
      <c r="F11" s="17" t="s">
        <v>104</v>
      </c>
      <c r="G11" s="3"/>
    </row>
    <row r="12" spans="3:11" s="2" customFormat="1" x14ac:dyDescent="0.35">
      <c r="C12" s="10"/>
      <c r="D12" s="3"/>
      <c r="E12" s="3"/>
      <c r="F12" s="3"/>
      <c r="G12" s="3"/>
      <c r="H12" s="3"/>
    </row>
    <row r="13" spans="3:11" s="2" customFormat="1" x14ac:dyDescent="0.35">
      <c r="C13" s="30" t="s">
        <v>78</v>
      </c>
      <c r="D13" s="30"/>
      <c r="E13" s="30"/>
      <c r="F13" s="30"/>
      <c r="G13" s="30"/>
      <c r="H13" s="30"/>
    </row>
    <row r="15" spans="3:11" s="2" customFormat="1" ht="36" customHeight="1" x14ac:dyDescent="0.35">
      <c r="C15" s="13" t="s">
        <v>2</v>
      </c>
      <c r="D15" s="14" t="s">
        <v>79</v>
      </c>
      <c r="E15" s="14" t="s">
        <v>80</v>
      </c>
      <c r="F15" s="14" t="s">
        <v>81</v>
      </c>
      <c r="G15" s="14" t="s">
        <v>82</v>
      </c>
      <c r="H15" s="14" t="s">
        <v>83</v>
      </c>
      <c r="J15" s="14" t="s">
        <v>105</v>
      </c>
      <c r="K15" s="14" t="s">
        <v>106</v>
      </c>
    </row>
    <row r="16" spans="3:11" s="2" customFormat="1" x14ac:dyDescent="0.35">
      <c r="C16" s="6">
        <v>1</v>
      </c>
      <c r="D16" s="7" t="s">
        <v>84</v>
      </c>
      <c r="E16" s="6" t="str">
        <f>IF(J16="BL","Bali",IF(J16="BD","Bandung","Lombok"))</f>
        <v>Bali</v>
      </c>
      <c r="F16" s="6">
        <v>100</v>
      </c>
      <c r="G16" s="6" t="str">
        <f>RIGHT(D16,2)</f>
        <v>BS</v>
      </c>
      <c r="H16" s="8">
        <v>2000000</v>
      </c>
      <c r="J16" s="28" t="str">
        <f>LEFT(D16,2)</f>
        <v>BL</v>
      </c>
      <c r="K16" s="28" t="str">
        <f>RIGHT(D16,2)</f>
        <v>BS</v>
      </c>
    </row>
    <row r="17" spans="3:11" s="2" customFormat="1" x14ac:dyDescent="0.35">
      <c r="C17" s="6">
        <v>2</v>
      </c>
      <c r="D17" s="7" t="s">
        <v>85</v>
      </c>
      <c r="E17" s="29" t="str">
        <f t="shared" ref="E17:E29" si="0">IF(J17="BL","Bali",IF(J17="BD","Bandung","Lombok"))</f>
        <v>Bali</v>
      </c>
      <c r="F17" s="6">
        <v>300</v>
      </c>
      <c r="G17" s="27" t="str">
        <f t="shared" ref="G17:G29" si="1">RIGHT(D17,2)</f>
        <v>IS</v>
      </c>
      <c r="H17" s="8">
        <v>2000000</v>
      </c>
      <c r="J17" s="28" t="str">
        <f t="shared" ref="J17:J29" si="2">LEFT(D17,2)</f>
        <v>BL</v>
      </c>
      <c r="K17" s="28" t="str">
        <f t="shared" ref="K17:K29" si="3">RIGHT(D17,2)</f>
        <v>IS</v>
      </c>
    </row>
    <row r="18" spans="3:11" s="2" customFormat="1" x14ac:dyDescent="0.35">
      <c r="C18" s="6">
        <v>3</v>
      </c>
      <c r="D18" s="7" t="s">
        <v>86</v>
      </c>
      <c r="E18" s="29" t="str">
        <f t="shared" si="0"/>
        <v>Bandung</v>
      </c>
      <c r="F18" s="6">
        <v>200</v>
      </c>
      <c r="G18" s="27" t="str">
        <f t="shared" si="1"/>
        <v>BS</v>
      </c>
      <c r="H18" s="8">
        <v>2000000</v>
      </c>
      <c r="J18" s="28" t="str">
        <f t="shared" si="2"/>
        <v>BD</v>
      </c>
      <c r="K18" s="28" t="str">
        <f t="shared" si="3"/>
        <v>BS</v>
      </c>
    </row>
    <row r="19" spans="3:11" s="2" customFormat="1" x14ac:dyDescent="0.35">
      <c r="C19" s="6">
        <v>4</v>
      </c>
      <c r="D19" s="7" t="s">
        <v>87</v>
      </c>
      <c r="E19" s="29" t="str">
        <f t="shared" si="0"/>
        <v>Bandung</v>
      </c>
      <c r="F19" s="6">
        <v>100</v>
      </c>
      <c r="G19" s="27" t="str">
        <f t="shared" si="1"/>
        <v>IS</v>
      </c>
      <c r="H19" s="8">
        <v>2000000</v>
      </c>
      <c r="J19" s="28" t="str">
        <f t="shared" si="2"/>
        <v>BD</v>
      </c>
      <c r="K19" s="28" t="str">
        <f t="shared" si="3"/>
        <v>IS</v>
      </c>
    </row>
    <row r="20" spans="3:11" s="2" customFormat="1" x14ac:dyDescent="0.35">
      <c r="C20" s="6">
        <v>5</v>
      </c>
      <c r="D20" s="7" t="s">
        <v>88</v>
      </c>
      <c r="E20" s="29" t="str">
        <f t="shared" si="0"/>
        <v>Lombok</v>
      </c>
      <c r="F20" s="6">
        <v>100</v>
      </c>
      <c r="G20" s="27" t="str">
        <f t="shared" si="1"/>
        <v>BS</v>
      </c>
      <c r="H20" s="8">
        <v>2000000</v>
      </c>
      <c r="J20" s="28" t="str">
        <f t="shared" si="2"/>
        <v>LB</v>
      </c>
      <c r="K20" s="28" t="str">
        <f t="shared" si="3"/>
        <v>BS</v>
      </c>
    </row>
    <row r="21" spans="3:11" s="2" customFormat="1" x14ac:dyDescent="0.35">
      <c r="C21" s="6">
        <v>6</v>
      </c>
      <c r="D21" s="7" t="s">
        <v>89</v>
      </c>
      <c r="E21" s="29" t="str">
        <f t="shared" si="0"/>
        <v>Bandung</v>
      </c>
      <c r="F21" s="6">
        <v>200</v>
      </c>
      <c r="G21" s="27" t="str">
        <f t="shared" si="1"/>
        <v>IS</v>
      </c>
      <c r="H21" s="8">
        <v>2000000</v>
      </c>
      <c r="J21" s="28" t="str">
        <f t="shared" si="2"/>
        <v>BD</v>
      </c>
      <c r="K21" s="28" t="str">
        <f t="shared" si="3"/>
        <v>IS</v>
      </c>
    </row>
    <row r="22" spans="3:11" s="2" customFormat="1" x14ac:dyDescent="0.35">
      <c r="C22" s="6">
        <v>7</v>
      </c>
      <c r="D22" s="7" t="s">
        <v>87</v>
      </c>
      <c r="E22" s="29" t="str">
        <f t="shared" si="0"/>
        <v>Bandung</v>
      </c>
      <c r="F22" s="6">
        <v>100</v>
      </c>
      <c r="G22" s="27" t="str">
        <f t="shared" si="1"/>
        <v>IS</v>
      </c>
      <c r="H22" s="8">
        <v>2000000</v>
      </c>
      <c r="J22" s="28" t="str">
        <f t="shared" si="2"/>
        <v>BD</v>
      </c>
      <c r="K22" s="28" t="str">
        <f t="shared" si="3"/>
        <v>IS</v>
      </c>
    </row>
    <row r="23" spans="3:11" s="2" customFormat="1" x14ac:dyDescent="0.35">
      <c r="C23" s="6">
        <v>8</v>
      </c>
      <c r="D23" s="7" t="s">
        <v>88</v>
      </c>
      <c r="E23" s="29" t="str">
        <f t="shared" si="0"/>
        <v>Lombok</v>
      </c>
      <c r="F23" s="6">
        <v>100</v>
      </c>
      <c r="G23" s="27" t="str">
        <f t="shared" si="1"/>
        <v>BS</v>
      </c>
      <c r="H23" s="8">
        <v>2000000</v>
      </c>
      <c r="J23" s="28" t="str">
        <f t="shared" si="2"/>
        <v>LB</v>
      </c>
      <c r="K23" s="28" t="str">
        <f t="shared" si="3"/>
        <v>BS</v>
      </c>
    </row>
    <row r="24" spans="3:11" s="2" customFormat="1" x14ac:dyDescent="0.35">
      <c r="C24" s="6">
        <v>9</v>
      </c>
      <c r="D24" s="7" t="s">
        <v>88</v>
      </c>
      <c r="E24" s="29" t="str">
        <f t="shared" si="0"/>
        <v>Lombok</v>
      </c>
      <c r="F24" s="6">
        <v>100</v>
      </c>
      <c r="G24" s="27" t="str">
        <f t="shared" si="1"/>
        <v>BS</v>
      </c>
      <c r="H24" s="8">
        <v>2000000</v>
      </c>
      <c r="J24" s="28" t="str">
        <f t="shared" si="2"/>
        <v>LB</v>
      </c>
      <c r="K24" s="28" t="str">
        <f t="shared" si="3"/>
        <v>BS</v>
      </c>
    </row>
    <row r="25" spans="3:11" s="2" customFormat="1" x14ac:dyDescent="0.35">
      <c r="C25" s="6">
        <v>10</v>
      </c>
      <c r="D25" s="7" t="s">
        <v>90</v>
      </c>
      <c r="E25" s="29" t="str">
        <f t="shared" si="0"/>
        <v>Bali</v>
      </c>
      <c r="F25" s="6">
        <v>100</v>
      </c>
      <c r="G25" s="27" t="str">
        <f t="shared" si="1"/>
        <v>IS</v>
      </c>
      <c r="H25" s="8">
        <v>2000000</v>
      </c>
      <c r="J25" s="28" t="str">
        <f t="shared" si="2"/>
        <v>BL</v>
      </c>
      <c r="K25" s="28" t="str">
        <f t="shared" si="3"/>
        <v>IS</v>
      </c>
    </row>
    <row r="26" spans="3:11" s="2" customFormat="1" x14ac:dyDescent="0.35">
      <c r="C26" s="6">
        <v>11</v>
      </c>
      <c r="D26" s="7" t="s">
        <v>91</v>
      </c>
      <c r="E26" s="29" t="str">
        <f t="shared" si="0"/>
        <v>Lombok</v>
      </c>
      <c r="F26" s="6">
        <v>100</v>
      </c>
      <c r="G26" s="27" t="str">
        <f t="shared" si="1"/>
        <v>IS</v>
      </c>
      <c r="H26" s="8">
        <v>2000000</v>
      </c>
      <c r="J26" s="28" t="str">
        <f t="shared" si="2"/>
        <v>LB</v>
      </c>
      <c r="K26" s="28" t="str">
        <f t="shared" si="3"/>
        <v>IS</v>
      </c>
    </row>
    <row r="27" spans="3:11" s="2" customFormat="1" x14ac:dyDescent="0.35">
      <c r="C27" s="6">
        <v>12</v>
      </c>
      <c r="D27" s="7" t="s">
        <v>88</v>
      </c>
      <c r="E27" s="29" t="str">
        <f t="shared" si="0"/>
        <v>Lombok</v>
      </c>
      <c r="F27" s="6">
        <v>100</v>
      </c>
      <c r="G27" s="27" t="str">
        <f t="shared" si="1"/>
        <v>BS</v>
      </c>
      <c r="H27" s="8">
        <v>2000000</v>
      </c>
      <c r="J27" s="28" t="str">
        <f t="shared" si="2"/>
        <v>LB</v>
      </c>
      <c r="K27" s="28" t="str">
        <f t="shared" si="3"/>
        <v>BS</v>
      </c>
    </row>
    <row r="28" spans="3:11" s="2" customFormat="1" x14ac:dyDescent="0.35">
      <c r="C28" s="6">
        <v>13</v>
      </c>
      <c r="D28" s="7" t="s">
        <v>88</v>
      </c>
      <c r="E28" s="29" t="str">
        <f t="shared" si="0"/>
        <v>Lombok</v>
      </c>
      <c r="F28" s="6">
        <v>100</v>
      </c>
      <c r="G28" s="27" t="str">
        <f t="shared" si="1"/>
        <v>BS</v>
      </c>
      <c r="H28" s="8">
        <v>2000000</v>
      </c>
      <c r="J28" s="28" t="str">
        <f t="shared" si="2"/>
        <v>LB</v>
      </c>
      <c r="K28" s="28" t="str">
        <f t="shared" si="3"/>
        <v>BS</v>
      </c>
    </row>
    <row r="29" spans="3:11" s="2" customFormat="1" x14ac:dyDescent="0.35">
      <c r="C29" s="6">
        <v>14</v>
      </c>
      <c r="D29" s="7" t="s">
        <v>91</v>
      </c>
      <c r="E29" s="29" t="str">
        <f t="shared" si="0"/>
        <v>Lombok</v>
      </c>
      <c r="F29" s="6">
        <v>100</v>
      </c>
      <c r="G29" s="27" t="str">
        <f t="shared" si="1"/>
        <v>IS</v>
      </c>
      <c r="H29" s="8">
        <v>2000000</v>
      </c>
      <c r="J29" s="28" t="str">
        <f t="shared" si="2"/>
        <v>LB</v>
      </c>
      <c r="K29" s="28" t="str">
        <f t="shared" si="3"/>
        <v>IS</v>
      </c>
    </row>
    <row r="30" spans="3:11" s="2" customFormat="1" x14ac:dyDescent="0.35">
      <c r="C30" s="3"/>
      <c r="D30" s="3"/>
      <c r="E30" s="1"/>
      <c r="F30" s="1"/>
      <c r="G30" s="1"/>
      <c r="H30" s="1"/>
    </row>
    <row r="31" spans="3:11" s="2" customFormat="1" x14ac:dyDescent="0.35">
      <c r="C31" s="3"/>
      <c r="D31" s="3"/>
      <c r="E31" s="1"/>
      <c r="F31" s="1"/>
      <c r="G31" s="1"/>
      <c r="H31" s="1"/>
    </row>
    <row r="32" spans="3:11" s="2" customFormat="1" x14ac:dyDescent="0.35">
      <c r="C32" s="3"/>
      <c r="D32" s="3"/>
      <c r="E32" s="1"/>
      <c r="F32" s="1"/>
      <c r="G32" s="1"/>
      <c r="H32" s="1"/>
    </row>
    <row r="33" spans="3:8" s="2" customFormat="1" x14ac:dyDescent="0.35">
      <c r="C33" s="3"/>
      <c r="D33" s="3"/>
      <c r="E33" s="1"/>
      <c r="F33" s="1"/>
      <c r="G33" s="1"/>
      <c r="H33" s="1"/>
    </row>
    <row r="34" spans="3:8" s="2" customFormat="1" x14ac:dyDescent="0.35">
      <c r="C34" s="3"/>
      <c r="D34" s="3"/>
      <c r="E34" s="1"/>
      <c r="F34" s="1"/>
      <c r="G34" s="1"/>
      <c r="H34" s="1"/>
    </row>
    <row r="35" spans="3:8" s="2" customFormat="1" x14ac:dyDescent="0.35">
      <c r="C35" s="3"/>
      <c r="D35" s="3"/>
      <c r="E35" s="1"/>
      <c r="F35" s="1"/>
      <c r="G35" s="1"/>
      <c r="H35" s="1"/>
    </row>
    <row r="36" spans="3:8" s="2" customFormat="1" x14ac:dyDescent="0.35">
      <c r="C36" s="3"/>
      <c r="D36" s="3"/>
      <c r="E36" s="1"/>
      <c r="F36" s="1"/>
      <c r="G36" s="1"/>
      <c r="H36" s="1"/>
    </row>
    <row r="37" spans="3:8" s="2" customFormat="1" x14ac:dyDescent="0.35">
      <c r="C37" s="3"/>
      <c r="D37" s="3"/>
      <c r="E37" s="1"/>
      <c r="F37" s="1"/>
      <c r="G37" s="1"/>
      <c r="H37" s="1"/>
    </row>
    <row r="38" spans="3:8" s="2" customFormat="1" x14ac:dyDescent="0.35">
      <c r="C38" s="3"/>
      <c r="D38" s="3"/>
      <c r="E38" s="1"/>
      <c r="F38" s="1"/>
      <c r="G38" s="1"/>
      <c r="H38" s="1"/>
    </row>
  </sheetData>
  <mergeCells count="1">
    <mergeCell ref="C13:H13"/>
  </mergeCells>
  <conditionalFormatting sqref="E16:E29">
    <cfRule type="containsBlanks" dxfId="10" priority="2">
      <formula>LEN(TRIM(E16))=0</formula>
    </cfRule>
  </conditionalFormatting>
  <conditionalFormatting sqref="G16:G29">
    <cfRule type="containsBlanks" dxfId="9" priority="1">
      <formula>LEN(TRIM(G16))=0</formula>
    </cfRule>
  </conditionalFormatting>
  <pageMargins left="0.25" right="0.21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193AB-ED6E-4272-AFC5-66AD02B93A06}">
  <dimension ref="C2:N29"/>
  <sheetViews>
    <sheetView showGridLines="0" zoomScale="80" zoomScaleNormal="80" workbookViewId="0">
      <selection activeCell="I24" sqref="I24"/>
    </sheetView>
  </sheetViews>
  <sheetFormatPr defaultRowHeight="15.5" x14ac:dyDescent="0.35"/>
  <cols>
    <col min="1" max="2" width="2.453125" customWidth="1"/>
    <col min="3" max="3" width="4.453125" style="1" customWidth="1"/>
    <col min="4" max="4" width="15.7265625" style="1" customWidth="1"/>
    <col min="5" max="5" width="20" style="1" customWidth="1"/>
    <col min="6" max="6" width="15" style="1" customWidth="1"/>
    <col min="7" max="7" width="16.7265625" style="1" customWidth="1"/>
    <col min="8" max="8" width="16.1796875" style="1" customWidth="1"/>
    <col min="9" max="9" width="18.81640625" style="1" customWidth="1"/>
    <col min="10" max="10" width="3.81640625" style="2" customWidth="1"/>
    <col min="11" max="13" width="9.1796875" style="2"/>
    <col min="14" max="14" width="14.6328125" style="2" customWidth="1"/>
  </cols>
  <sheetData>
    <row r="2" spans="3:14" s="2" customFormat="1" x14ac:dyDescent="0.35">
      <c r="C2" s="10" t="s">
        <v>1</v>
      </c>
      <c r="D2" s="1"/>
      <c r="E2" s="1"/>
      <c r="F2" s="1"/>
      <c r="G2" s="1"/>
      <c r="H2" s="1"/>
      <c r="I2" s="1"/>
    </row>
    <row r="3" spans="3:14" s="2" customFormat="1" x14ac:dyDescent="0.35">
      <c r="C3" s="10">
        <v>1</v>
      </c>
      <c r="D3" s="3" t="s">
        <v>3</v>
      </c>
      <c r="E3" s="3"/>
      <c r="F3" s="3"/>
      <c r="G3" s="3"/>
      <c r="H3" s="3"/>
      <c r="I3" s="1"/>
    </row>
    <row r="4" spans="3:14" s="2" customFormat="1" x14ac:dyDescent="0.35">
      <c r="C4" s="10"/>
      <c r="D4" s="4" t="s">
        <v>4</v>
      </c>
      <c r="E4" s="3"/>
      <c r="F4" s="3"/>
      <c r="G4" s="3"/>
      <c r="H4" s="3"/>
      <c r="I4" s="1"/>
    </row>
    <row r="5" spans="3:14" s="2" customFormat="1" x14ac:dyDescent="0.35">
      <c r="C5" s="10"/>
      <c r="D5" s="4" t="s">
        <v>5</v>
      </c>
      <c r="E5" s="3"/>
      <c r="F5" s="3"/>
      <c r="G5" s="3"/>
      <c r="H5" s="3"/>
      <c r="I5" s="1"/>
    </row>
    <row r="6" spans="3:14" s="2" customFormat="1" x14ac:dyDescent="0.35">
      <c r="C6" s="10">
        <v>2</v>
      </c>
      <c r="D6" s="4" t="s">
        <v>6</v>
      </c>
      <c r="E6" s="3"/>
      <c r="F6" s="3"/>
      <c r="G6" s="3"/>
      <c r="H6" s="3"/>
      <c r="I6" s="1"/>
    </row>
    <row r="7" spans="3:14" s="2" customFormat="1" x14ac:dyDescent="0.35">
      <c r="C7" s="10"/>
      <c r="D7" s="4" t="s">
        <v>7</v>
      </c>
      <c r="E7" s="3"/>
      <c r="F7" s="3"/>
      <c r="G7" s="3"/>
      <c r="H7" s="3"/>
      <c r="K7" s="1"/>
    </row>
    <row r="8" spans="3:14" s="2" customFormat="1" x14ac:dyDescent="0.35">
      <c r="C8" s="10"/>
      <c r="D8" s="4" t="s">
        <v>8</v>
      </c>
      <c r="E8" s="3"/>
      <c r="F8" s="3"/>
      <c r="G8" s="3"/>
      <c r="H8" s="3"/>
      <c r="K8" s="1"/>
      <c r="M8" s="2" t="s">
        <v>120</v>
      </c>
      <c r="N8" s="2" t="s">
        <v>121</v>
      </c>
    </row>
    <row r="9" spans="3:14" s="2" customFormat="1" x14ac:dyDescent="0.35">
      <c r="C9" s="10"/>
      <c r="D9" s="4" t="s">
        <v>9</v>
      </c>
      <c r="E9" s="3"/>
      <c r="F9" s="3"/>
      <c r="G9" s="3"/>
      <c r="H9" s="3"/>
      <c r="K9" s="1"/>
      <c r="M9" s="2" t="s">
        <v>14</v>
      </c>
      <c r="N9" s="2">
        <v>300000</v>
      </c>
    </row>
    <row r="10" spans="3:14" s="2" customFormat="1" x14ac:dyDescent="0.35">
      <c r="C10" s="3"/>
      <c r="D10" s="3"/>
      <c r="E10" s="3"/>
      <c r="F10" s="3"/>
      <c r="G10" s="3"/>
      <c r="H10" s="3"/>
      <c r="I10" s="1"/>
      <c r="M10" s="2" t="s">
        <v>19</v>
      </c>
      <c r="N10" s="2">
        <v>200000</v>
      </c>
    </row>
    <row r="11" spans="3:14" s="2" customFormat="1" x14ac:dyDescent="0.35">
      <c r="C11" s="30" t="s">
        <v>93</v>
      </c>
      <c r="D11" s="30"/>
      <c r="E11" s="30"/>
      <c r="F11" s="30"/>
      <c r="G11" s="30"/>
      <c r="H11" s="30"/>
      <c r="I11" s="30"/>
      <c r="M11" s="2" t="s">
        <v>17</v>
      </c>
      <c r="N11" s="2">
        <v>100000</v>
      </c>
    </row>
    <row r="13" spans="3:14" s="2" customFormat="1" ht="36" customHeight="1" x14ac:dyDescent="0.35">
      <c r="C13" s="13" t="s">
        <v>2</v>
      </c>
      <c r="D13" s="14" t="s">
        <v>10</v>
      </c>
      <c r="E13" s="14" t="s">
        <v>0</v>
      </c>
      <c r="F13" s="14" t="s">
        <v>11</v>
      </c>
      <c r="G13" s="14" t="s">
        <v>12</v>
      </c>
      <c r="H13" s="14" t="s">
        <v>114</v>
      </c>
      <c r="I13" s="14" t="s">
        <v>113</v>
      </c>
      <c r="K13" s="11"/>
    </row>
    <row r="14" spans="3:14" s="2" customFormat="1" x14ac:dyDescent="0.35">
      <c r="C14" s="6">
        <v>1</v>
      </c>
      <c r="D14" s="7" t="s">
        <v>13</v>
      </c>
      <c r="E14" s="8" t="s">
        <v>14</v>
      </c>
      <c r="F14" s="6" t="s">
        <v>15</v>
      </c>
      <c r="G14" s="8">
        <f>IF(F14="Bidan",100000,75000)</f>
        <v>100000</v>
      </c>
      <c r="H14" s="8">
        <f>VLOOKUP(E14,$M$8:$N$11,2,0)</f>
        <v>300000</v>
      </c>
      <c r="I14" s="8">
        <f>G14+H14</f>
        <v>400000</v>
      </c>
    </row>
    <row r="15" spans="3:14" s="2" customFormat="1" x14ac:dyDescent="0.35">
      <c r="C15" s="6">
        <v>2</v>
      </c>
      <c r="D15" s="7" t="s">
        <v>16</v>
      </c>
      <c r="E15" s="8" t="s">
        <v>17</v>
      </c>
      <c r="F15" s="6" t="s">
        <v>15</v>
      </c>
      <c r="G15" s="8">
        <f t="shared" ref="G15:G22" si="0">IF(F15="Bidan",100000,75000)</f>
        <v>100000</v>
      </c>
      <c r="H15" s="8">
        <f t="shared" ref="H15:H22" si="1">VLOOKUP(E15,$M$8:$N$11,2,0)</f>
        <v>100000</v>
      </c>
      <c r="I15" s="8">
        <f t="shared" ref="I15:I22" si="2">G15+H15</f>
        <v>200000</v>
      </c>
    </row>
    <row r="16" spans="3:14" s="2" customFormat="1" x14ac:dyDescent="0.35">
      <c r="C16" s="6">
        <v>3</v>
      </c>
      <c r="D16" s="7" t="s">
        <v>18</v>
      </c>
      <c r="E16" s="8" t="s">
        <v>19</v>
      </c>
      <c r="F16" s="6" t="s">
        <v>20</v>
      </c>
      <c r="G16" s="8">
        <f t="shared" si="0"/>
        <v>75000</v>
      </c>
      <c r="H16" s="8">
        <f t="shared" si="1"/>
        <v>200000</v>
      </c>
      <c r="I16" s="8">
        <f t="shared" si="2"/>
        <v>275000</v>
      </c>
    </row>
    <row r="17" spans="3:9" s="2" customFormat="1" x14ac:dyDescent="0.35">
      <c r="C17" s="6">
        <v>4</v>
      </c>
      <c r="D17" s="7" t="s">
        <v>21</v>
      </c>
      <c r="E17" s="8" t="s">
        <v>14</v>
      </c>
      <c r="F17" s="6" t="s">
        <v>20</v>
      </c>
      <c r="G17" s="8">
        <f t="shared" si="0"/>
        <v>75000</v>
      </c>
      <c r="H17" s="8">
        <f t="shared" si="1"/>
        <v>300000</v>
      </c>
      <c r="I17" s="8">
        <f t="shared" si="2"/>
        <v>375000</v>
      </c>
    </row>
    <row r="18" spans="3:9" s="2" customFormat="1" x14ac:dyDescent="0.35">
      <c r="C18" s="6">
        <v>5</v>
      </c>
      <c r="D18" s="7" t="s">
        <v>22</v>
      </c>
      <c r="E18" s="8" t="s">
        <v>14</v>
      </c>
      <c r="F18" s="6" t="s">
        <v>15</v>
      </c>
      <c r="G18" s="8">
        <f t="shared" si="0"/>
        <v>100000</v>
      </c>
      <c r="H18" s="8">
        <f t="shared" si="1"/>
        <v>300000</v>
      </c>
      <c r="I18" s="8">
        <f t="shared" si="2"/>
        <v>400000</v>
      </c>
    </row>
    <row r="19" spans="3:9" s="2" customFormat="1" x14ac:dyDescent="0.35">
      <c r="C19" s="6">
        <v>6</v>
      </c>
      <c r="D19" s="7" t="s">
        <v>23</v>
      </c>
      <c r="E19" s="8" t="s">
        <v>19</v>
      </c>
      <c r="F19" s="6" t="s">
        <v>20</v>
      </c>
      <c r="G19" s="8">
        <f t="shared" si="0"/>
        <v>75000</v>
      </c>
      <c r="H19" s="8">
        <f t="shared" si="1"/>
        <v>200000</v>
      </c>
      <c r="I19" s="8">
        <f t="shared" si="2"/>
        <v>275000</v>
      </c>
    </row>
    <row r="20" spans="3:9" s="2" customFormat="1" x14ac:dyDescent="0.35">
      <c r="C20" s="6">
        <v>7</v>
      </c>
      <c r="D20" s="7" t="s">
        <v>24</v>
      </c>
      <c r="E20" s="8" t="s">
        <v>14</v>
      </c>
      <c r="F20" s="6" t="s">
        <v>15</v>
      </c>
      <c r="G20" s="8">
        <f t="shared" si="0"/>
        <v>100000</v>
      </c>
      <c r="H20" s="8">
        <f t="shared" si="1"/>
        <v>300000</v>
      </c>
      <c r="I20" s="8">
        <f t="shared" si="2"/>
        <v>400000</v>
      </c>
    </row>
    <row r="21" spans="3:9" s="2" customFormat="1" x14ac:dyDescent="0.35">
      <c r="C21" s="6">
        <v>8</v>
      </c>
      <c r="D21" s="7" t="s">
        <v>25</v>
      </c>
      <c r="E21" s="8" t="s">
        <v>17</v>
      </c>
      <c r="F21" s="6" t="s">
        <v>15</v>
      </c>
      <c r="G21" s="8">
        <f t="shared" si="0"/>
        <v>100000</v>
      </c>
      <c r="H21" s="8">
        <f t="shared" si="1"/>
        <v>100000</v>
      </c>
      <c r="I21" s="8">
        <f t="shared" si="2"/>
        <v>200000</v>
      </c>
    </row>
    <row r="22" spans="3:9" s="2" customFormat="1" x14ac:dyDescent="0.35">
      <c r="C22" s="6">
        <v>9</v>
      </c>
      <c r="D22" s="7" t="s">
        <v>26</v>
      </c>
      <c r="E22" s="8" t="s">
        <v>17</v>
      </c>
      <c r="F22" s="6" t="s">
        <v>15</v>
      </c>
      <c r="G22" s="8">
        <f t="shared" si="0"/>
        <v>100000</v>
      </c>
      <c r="H22" s="8">
        <f t="shared" si="1"/>
        <v>100000</v>
      </c>
      <c r="I22" s="8">
        <f t="shared" si="2"/>
        <v>200000</v>
      </c>
    </row>
    <row r="23" spans="3:9" s="2" customFormat="1" x14ac:dyDescent="0.35">
      <c r="C23" s="32" t="s">
        <v>119</v>
      </c>
      <c r="D23" s="32"/>
      <c r="E23" s="32"/>
      <c r="F23" s="32"/>
      <c r="G23" s="32"/>
      <c r="H23" s="32"/>
      <c r="I23" s="36">
        <f>SUMIFS(I14:I22,F14:F22,"Bidan")</f>
        <v>1800000</v>
      </c>
    </row>
    <row r="24" spans="3:9" s="2" customFormat="1" x14ac:dyDescent="0.35">
      <c r="C24" s="32" t="s">
        <v>115</v>
      </c>
      <c r="D24" s="32"/>
      <c r="E24" s="32"/>
      <c r="F24" s="32"/>
      <c r="G24" s="32"/>
      <c r="H24" s="32"/>
      <c r="I24" s="36">
        <f>SUMIFS(I14:I22,E14:E22,"C")</f>
        <v>600000</v>
      </c>
    </row>
    <row r="25" spans="3:9" s="2" customFormat="1" x14ac:dyDescent="0.35">
      <c r="C25" s="3"/>
      <c r="D25" s="3"/>
      <c r="E25" s="1"/>
      <c r="F25" s="1"/>
      <c r="G25" s="1"/>
      <c r="H25" s="1"/>
      <c r="I25" s="1"/>
    </row>
    <row r="26" spans="3:9" s="2" customFormat="1" x14ac:dyDescent="0.35">
      <c r="C26" s="3"/>
      <c r="D26" s="3"/>
      <c r="E26" s="1"/>
      <c r="F26" s="1"/>
      <c r="G26" s="1"/>
      <c r="H26" s="1"/>
      <c r="I26" s="1"/>
    </row>
    <row r="27" spans="3:9" s="2" customFormat="1" x14ac:dyDescent="0.35">
      <c r="C27" s="3"/>
      <c r="D27" s="3"/>
      <c r="E27" s="1"/>
      <c r="F27" s="1"/>
      <c r="G27" s="1"/>
      <c r="H27" s="1"/>
      <c r="I27" s="1"/>
    </row>
    <row r="28" spans="3:9" s="2" customFormat="1" x14ac:dyDescent="0.35">
      <c r="C28" s="3"/>
      <c r="D28" s="3"/>
      <c r="E28" s="1"/>
      <c r="F28" s="1"/>
      <c r="G28" s="1"/>
      <c r="H28" s="1"/>
      <c r="I28" s="1"/>
    </row>
    <row r="29" spans="3:9" s="2" customFormat="1" x14ac:dyDescent="0.35">
      <c r="C29" s="3"/>
      <c r="D29" s="3"/>
      <c r="E29" s="1"/>
      <c r="F29" s="1"/>
      <c r="G29" s="1"/>
      <c r="H29" s="1"/>
      <c r="I29" s="1"/>
    </row>
  </sheetData>
  <mergeCells count="3">
    <mergeCell ref="C11:I11"/>
    <mergeCell ref="C23:H23"/>
    <mergeCell ref="C24:H24"/>
  </mergeCells>
  <conditionalFormatting sqref="G14:I22">
    <cfRule type="containsBlanks" dxfId="8" priority="1">
      <formula>LEN(TRIM(G14))=0</formula>
    </cfRule>
  </conditionalFormatting>
  <pageMargins left="0.37" right="0.33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4239-0AD7-44DC-B655-3F7EA66D8BAF}">
  <dimension ref="C2:N35"/>
  <sheetViews>
    <sheetView showGridLines="0" tabSelected="1" zoomScale="70" zoomScaleNormal="70" workbookViewId="0">
      <selection activeCell="G28" sqref="G28"/>
    </sheetView>
  </sheetViews>
  <sheetFormatPr defaultRowHeight="15.5" outlineLevelCol="1" x14ac:dyDescent="0.35"/>
  <cols>
    <col min="1" max="2" width="2.453125" customWidth="1"/>
    <col min="3" max="3" width="4.453125" style="1" customWidth="1"/>
    <col min="4" max="4" width="15.7265625" style="1" customWidth="1"/>
    <col min="5" max="5" width="12.1796875" style="1" customWidth="1"/>
    <col min="6" max="6" width="16.7265625" style="1" customWidth="1"/>
    <col min="7" max="7" width="16.1796875" style="1" customWidth="1"/>
    <col min="8" max="8" width="18.81640625" style="1" customWidth="1"/>
    <col min="9" max="9" width="13.26953125" style="2" customWidth="1"/>
    <col min="10" max="11" width="14.54296875" style="2" hidden="1" customWidth="1" outlineLevel="1"/>
    <col min="12" max="12" width="9.1796875" style="2" hidden="1" customWidth="1" outlineLevel="1"/>
    <col min="13" max="13" width="22.54296875" style="2" customWidth="1" collapsed="1"/>
  </cols>
  <sheetData>
    <row r="2" spans="3:14" s="2" customFormat="1" x14ac:dyDescent="0.35">
      <c r="C2" s="10" t="s">
        <v>1</v>
      </c>
      <c r="D2" s="1"/>
      <c r="E2" s="1"/>
      <c r="F2" s="1"/>
      <c r="G2" s="1"/>
      <c r="H2" s="1"/>
    </row>
    <row r="3" spans="3:14" s="2" customFormat="1" x14ac:dyDescent="0.35">
      <c r="C3" s="10">
        <v>1</v>
      </c>
      <c r="D3" s="3" t="s">
        <v>41</v>
      </c>
      <c r="E3" s="3"/>
      <c r="F3" s="3"/>
      <c r="G3" s="3"/>
      <c r="H3" s="1"/>
      <c r="J3" s="24" t="s">
        <v>112</v>
      </c>
      <c r="K3" s="24" t="s">
        <v>107</v>
      </c>
      <c r="L3" s="24" t="s">
        <v>108</v>
      </c>
    </row>
    <row r="4" spans="3:14" s="2" customFormat="1" x14ac:dyDescent="0.35">
      <c r="C4" s="10"/>
      <c r="D4" s="4" t="s">
        <v>42</v>
      </c>
      <c r="E4" s="3"/>
      <c r="F4" s="3"/>
      <c r="G4" s="3"/>
      <c r="H4" s="1"/>
      <c r="J4" s="20">
        <v>0</v>
      </c>
      <c r="K4" s="19" t="s">
        <v>109</v>
      </c>
      <c r="L4" s="21">
        <v>0.02</v>
      </c>
    </row>
    <row r="5" spans="3:14" s="2" customFormat="1" x14ac:dyDescent="0.35">
      <c r="C5" s="10"/>
      <c r="D5" s="4" t="s">
        <v>43</v>
      </c>
      <c r="E5" s="3"/>
      <c r="F5" s="3"/>
      <c r="G5" s="3"/>
      <c r="H5" s="1"/>
      <c r="J5" s="20">
        <v>3000000</v>
      </c>
      <c r="K5" s="19" t="s">
        <v>110</v>
      </c>
      <c r="L5" s="21">
        <v>0.05</v>
      </c>
    </row>
    <row r="6" spans="3:14" s="2" customFormat="1" x14ac:dyDescent="0.35">
      <c r="C6" s="10"/>
      <c r="D6" s="4" t="s">
        <v>44</v>
      </c>
      <c r="E6" s="3"/>
      <c r="F6" s="3"/>
      <c r="G6" s="3"/>
      <c r="H6" s="1"/>
      <c r="J6" s="20">
        <v>5000000</v>
      </c>
      <c r="K6" s="22" t="s">
        <v>111</v>
      </c>
      <c r="L6" s="21">
        <v>0.1</v>
      </c>
    </row>
    <row r="7" spans="3:14" s="2" customFormat="1" x14ac:dyDescent="0.35">
      <c r="C7" s="3"/>
      <c r="D7" s="3"/>
      <c r="E7" s="3"/>
      <c r="F7" s="3"/>
      <c r="G7" s="3"/>
      <c r="H7" s="1"/>
    </row>
    <row r="8" spans="3:14" s="2" customFormat="1" x14ac:dyDescent="0.35">
      <c r="C8" s="30" t="s">
        <v>45</v>
      </c>
      <c r="D8" s="30"/>
      <c r="E8" s="30"/>
      <c r="F8" s="30"/>
      <c r="G8" s="30"/>
      <c r="H8" s="30"/>
    </row>
    <row r="10" spans="3:14" s="2" customFormat="1" ht="36" customHeight="1" x14ac:dyDescent="0.35">
      <c r="C10" s="13" t="s">
        <v>2</v>
      </c>
      <c r="D10" s="13" t="s">
        <v>46</v>
      </c>
      <c r="E10" s="14" t="s">
        <v>47</v>
      </c>
      <c r="F10" s="13" t="s">
        <v>48</v>
      </c>
      <c r="G10" s="14" t="s">
        <v>49</v>
      </c>
      <c r="H10" s="14" t="s">
        <v>50</v>
      </c>
      <c r="J10" s="11"/>
      <c r="M10" s="2" t="s">
        <v>48</v>
      </c>
      <c r="N10" s="2" t="s">
        <v>108</v>
      </c>
    </row>
    <row r="11" spans="3:14" s="2" customFormat="1" x14ac:dyDescent="0.35">
      <c r="C11" s="6">
        <v>1</v>
      </c>
      <c r="D11" s="7" t="s">
        <v>35</v>
      </c>
      <c r="E11" s="6">
        <v>3</v>
      </c>
      <c r="F11" s="8">
        <v>6500000</v>
      </c>
      <c r="G11" s="15">
        <f>IF(F11&gt;5000000,10%,IF(F11=3000000-5000000,5%,2%))</f>
        <v>0.1</v>
      </c>
      <c r="H11" s="8">
        <f>F11+F11*G11</f>
        <v>7150000</v>
      </c>
      <c r="M11" s="2" t="s">
        <v>122</v>
      </c>
      <c r="N11" s="37">
        <v>0.1</v>
      </c>
    </row>
    <row r="12" spans="3:14" s="2" customFormat="1" x14ac:dyDescent="0.35">
      <c r="C12" s="6">
        <v>2</v>
      </c>
      <c r="D12" s="7" t="s">
        <v>51</v>
      </c>
      <c r="E12" s="6">
        <v>1</v>
      </c>
      <c r="F12" s="8">
        <v>7503000</v>
      </c>
      <c r="G12" s="15">
        <f t="shared" ref="G12:G24" si="0">IF(F12&gt;5000000,10%,IF(F12=3000000-5000000,5%,2%))</f>
        <v>0.1</v>
      </c>
      <c r="H12" s="8">
        <f t="shared" ref="H12:H24" si="1">F12+F12*G12</f>
        <v>8253300</v>
      </c>
      <c r="M12" s="2" t="s">
        <v>123</v>
      </c>
      <c r="N12" s="37">
        <v>0.05</v>
      </c>
    </row>
    <row r="13" spans="3:14" s="2" customFormat="1" x14ac:dyDescent="0.35">
      <c r="C13" s="6">
        <v>3</v>
      </c>
      <c r="D13" s="7" t="s">
        <v>52</v>
      </c>
      <c r="E13" s="6">
        <v>3</v>
      </c>
      <c r="F13" s="8">
        <v>2000000</v>
      </c>
      <c r="G13" s="15">
        <f t="shared" si="0"/>
        <v>0.02</v>
      </c>
      <c r="H13" s="8">
        <f t="shared" si="1"/>
        <v>2040000</v>
      </c>
      <c r="M13" s="2" t="s">
        <v>124</v>
      </c>
      <c r="N13" s="37">
        <v>0.02</v>
      </c>
    </row>
    <row r="14" spans="3:14" s="2" customFormat="1" x14ac:dyDescent="0.35">
      <c r="C14" s="6">
        <v>4</v>
      </c>
      <c r="D14" s="7" t="s">
        <v>53</v>
      </c>
      <c r="E14" s="6">
        <v>4</v>
      </c>
      <c r="F14" s="8">
        <v>6530000</v>
      </c>
      <c r="G14" s="15">
        <f t="shared" si="0"/>
        <v>0.1</v>
      </c>
      <c r="H14" s="8">
        <f t="shared" si="1"/>
        <v>7183000</v>
      </c>
    </row>
    <row r="15" spans="3:14" s="2" customFormat="1" x14ac:dyDescent="0.35">
      <c r="C15" s="6">
        <v>5</v>
      </c>
      <c r="D15" s="7" t="s">
        <v>54</v>
      </c>
      <c r="E15" s="6">
        <v>2</v>
      </c>
      <c r="F15" s="8">
        <v>5230000</v>
      </c>
      <c r="G15" s="15">
        <f t="shared" si="0"/>
        <v>0.1</v>
      </c>
      <c r="H15" s="8">
        <f t="shared" si="1"/>
        <v>5753000</v>
      </c>
    </row>
    <row r="16" spans="3:14" s="2" customFormat="1" x14ac:dyDescent="0.35">
      <c r="C16" s="6">
        <v>6</v>
      </c>
      <c r="D16" s="7" t="s">
        <v>55</v>
      </c>
      <c r="E16" s="6">
        <v>1</v>
      </c>
      <c r="F16" s="8">
        <v>7422000</v>
      </c>
      <c r="G16" s="15">
        <f t="shared" si="0"/>
        <v>0.1</v>
      </c>
      <c r="H16" s="8">
        <f t="shared" si="1"/>
        <v>8164200</v>
      </c>
    </row>
    <row r="17" spans="3:13" s="2" customFormat="1" x14ac:dyDescent="0.35">
      <c r="C17" s="6">
        <v>7</v>
      </c>
      <c r="D17" s="7" t="s">
        <v>56</v>
      </c>
      <c r="E17" s="6">
        <v>5</v>
      </c>
      <c r="F17" s="8">
        <v>3526000</v>
      </c>
      <c r="G17" s="15">
        <f t="shared" si="0"/>
        <v>0.02</v>
      </c>
      <c r="H17" s="8">
        <f t="shared" si="1"/>
        <v>3596520</v>
      </c>
    </row>
    <row r="18" spans="3:13" s="2" customFormat="1" x14ac:dyDescent="0.35">
      <c r="C18" s="6">
        <v>8</v>
      </c>
      <c r="D18" s="7" t="s">
        <v>57</v>
      </c>
      <c r="E18" s="6">
        <v>4</v>
      </c>
      <c r="F18" s="8">
        <v>6502000</v>
      </c>
      <c r="G18" s="15">
        <f t="shared" si="0"/>
        <v>0.1</v>
      </c>
      <c r="H18" s="8">
        <f t="shared" si="1"/>
        <v>7152200</v>
      </c>
    </row>
    <row r="19" spans="3:13" s="2" customFormat="1" x14ac:dyDescent="0.35">
      <c r="C19" s="6">
        <v>9</v>
      </c>
      <c r="D19" s="7" t="s">
        <v>58</v>
      </c>
      <c r="E19" s="6">
        <v>5</v>
      </c>
      <c r="F19" s="8">
        <v>3513000</v>
      </c>
      <c r="G19" s="15">
        <f t="shared" si="0"/>
        <v>0.02</v>
      </c>
      <c r="H19" s="8">
        <f t="shared" si="1"/>
        <v>3583260</v>
      </c>
    </row>
    <row r="20" spans="3:13" s="2" customFormat="1" x14ac:dyDescent="0.35">
      <c r="C20" s="6">
        <v>10</v>
      </c>
      <c r="D20" s="7" t="s">
        <v>59</v>
      </c>
      <c r="E20" s="6">
        <v>2</v>
      </c>
      <c r="F20" s="8">
        <v>3526000</v>
      </c>
      <c r="G20" s="15">
        <f t="shared" si="0"/>
        <v>0.02</v>
      </c>
      <c r="H20" s="8">
        <f t="shared" si="1"/>
        <v>3596520</v>
      </c>
    </row>
    <row r="21" spans="3:13" s="2" customFormat="1" x14ac:dyDescent="0.35">
      <c r="C21" s="6">
        <v>11</v>
      </c>
      <c r="D21" s="7" t="s">
        <v>60</v>
      </c>
      <c r="E21" s="6">
        <v>2</v>
      </c>
      <c r="F21" s="8">
        <v>4000000</v>
      </c>
      <c r="G21" s="15">
        <f t="shared" si="0"/>
        <v>0.02</v>
      </c>
      <c r="H21" s="8">
        <f t="shared" si="1"/>
        <v>4080000</v>
      </c>
    </row>
    <row r="22" spans="3:13" s="2" customFormat="1" x14ac:dyDescent="0.35">
      <c r="C22" s="6">
        <v>12</v>
      </c>
      <c r="D22" s="7" t="s">
        <v>61</v>
      </c>
      <c r="E22" s="6">
        <v>1</v>
      </c>
      <c r="F22" s="8">
        <v>8000000</v>
      </c>
      <c r="G22" s="15">
        <f t="shared" si="0"/>
        <v>0.1</v>
      </c>
      <c r="H22" s="8">
        <f t="shared" si="1"/>
        <v>8800000</v>
      </c>
    </row>
    <row r="23" spans="3:13" s="2" customFormat="1" x14ac:dyDescent="0.35">
      <c r="C23" s="6">
        <v>13</v>
      </c>
      <c r="D23" s="7" t="s">
        <v>62</v>
      </c>
      <c r="E23" s="6">
        <v>3</v>
      </c>
      <c r="F23" s="8">
        <v>3200000</v>
      </c>
      <c r="G23" s="15">
        <f t="shared" si="0"/>
        <v>0.02</v>
      </c>
      <c r="H23" s="8">
        <f t="shared" si="1"/>
        <v>3264000</v>
      </c>
    </row>
    <row r="24" spans="3:13" s="2" customFormat="1" x14ac:dyDescent="0.35">
      <c r="C24" s="6">
        <v>14</v>
      </c>
      <c r="D24" s="7" t="s">
        <v>63</v>
      </c>
      <c r="E24" s="6">
        <v>3</v>
      </c>
      <c r="F24" s="8">
        <v>6230000</v>
      </c>
      <c r="G24" s="15">
        <f t="shared" si="0"/>
        <v>0.1</v>
      </c>
      <c r="H24" s="8">
        <f t="shared" si="1"/>
        <v>6853000</v>
      </c>
    </row>
    <row r="25" spans="3:13" s="2" customFormat="1" x14ac:dyDescent="0.35">
      <c r="C25" s="33" t="s">
        <v>118</v>
      </c>
      <c r="D25" s="34"/>
      <c r="E25" s="34"/>
      <c r="F25" s="34"/>
      <c r="G25" s="35"/>
      <c r="H25" s="8">
        <f>SUM(H11:H24)</f>
        <v>79469000</v>
      </c>
    </row>
    <row r="26" spans="3:13" s="2" customFormat="1" x14ac:dyDescent="0.35">
      <c r="C26" s="33" t="s">
        <v>64</v>
      </c>
      <c r="D26" s="34"/>
      <c r="E26" s="34"/>
      <c r="F26" s="34"/>
      <c r="G26" s="35"/>
      <c r="H26" s="8">
        <f>MAX(F11:F24)</f>
        <v>8000000</v>
      </c>
    </row>
    <row r="27" spans="3:13" s="1" customFormat="1" x14ac:dyDescent="0.35">
      <c r="C27" s="3"/>
      <c r="D27" s="3"/>
      <c r="I27" s="2"/>
      <c r="J27" s="2"/>
      <c r="K27" s="2"/>
      <c r="L27" s="2"/>
      <c r="M27" s="2"/>
    </row>
    <row r="28" spans="3:13" s="1" customFormat="1" x14ac:dyDescent="0.35">
      <c r="C28" s="3"/>
      <c r="D28" s="3"/>
      <c r="I28" s="2"/>
      <c r="J28" s="2"/>
      <c r="K28" s="2"/>
      <c r="L28" s="2"/>
      <c r="M28" s="2"/>
    </row>
    <row r="29" spans="3:13" s="1" customFormat="1" x14ac:dyDescent="0.35">
      <c r="C29" s="3"/>
      <c r="D29" s="3"/>
      <c r="I29" s="2"/>
      <c r="J29" s="2"/>
      <c r="K29" s="2"/>
      <c r="L29" s="2"/>
      <c r="M29" s="2"/>
    </row>
    <row r="30" spans="3:13" s="1" customFormat="1" x14ac:dyDescent="0.35">
      <c r="C30" s="3"/>
      <c r="D30" s="3"/>
      <c r="I30" s="2"/>
      <c r="J30" s="2"/>
      <c r="K30" s="2"/>
      <c r="L30" s="2"/>
      <c r="M30" s="2"/>
    </row>
    <row r="31" spans="3:13" s="1" customFormat="1" x14ac:dyDescent="0.35">
      <c r="C31" s="3"/>
      <c r="D31" s="3"/>
      <c r="I31" s="2"/>
      <c r="J31" s="2"/>
      <c r="K31" s="2"/>
      <c r="L31" s="2"/>
      <c r="M31" s="2"/>
    </row>
    <row r="32" spans="3:13" s="1" customFormat="1" x14ac:dyDescent="0.35">
      <c r="C32" s="3"/>
      <c r="D32" s="3"/>
      <c r="I32" s="2"/>
      <c r="J32" s="2"/>
      <c r="K32" s="2"/>
      <c r="L32" s="2"/>
      <c r="M32" s="2"/>
    </row>
    <row r="33" spans="3:13" s="1" customFormat="1" x14ac:dyDescent="0.35">
      <c r="C33" s="3"/>
      <c r="D33" s="3"/>
      <c r="I33" s="2"/>
      <c r="J33" s="2"/>
      <c r="K33" s="2"/>
      <c r="L33" s="2"/>
      <c r="M33" s="2"/>
    </row>
    <row r="34" spans="3:13" s="1" customFormat="1" x14ac:dyDescent="0.35">
      <c r="C34" s="3"/>
      <c r="D34" s="3"/>
      <c r="I34" s="2"/>
      <c r="J34" s="2"/>
      <c r="K34" s="2"/>
      <c r="L34" s="2"/>
      <c r="M34" s="2"/>
    </row>
    <row r="35" spans="3:13" s="1" customFormat="1" x14ac:dyDescent="0.35">
      <c r="C35" s="3"/>
      <c r="D35" s="3"/>
      <c r="I35" s="2"/>
      <c r="J35" s="2"/>
      <c r="K35" s="2"/>
      <c r="L35" s="2"/>
      <c r="M35" s="2"/>
    </row>
  </sheetData>
  <mergeCells count="3">
    <mergeCell ref="C8:H8"/>
    <mergeCell ref="C25:G25"/>
    <mergeCell ref="C26:G26"/>
  </mergeCells>
  <conditionalFormatting sqref="H11:H26 G11:H24">
    <cfRule type="containsBlanks" dxfId="0" priority="1">
      <formula>LEN(TRIM(G11))=0</formula>
    </cfRule>
  </conditionalFormatting>
  <pageMargins left="0.49" right="0.7" top="0.56999999999999995" bottom="0.47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3C15A-1068-4EA3-9887-A1113FC2199B}">
  <dimension ref="C2:S30"/>
  <sheetViews>
    <sheetView showGridLines="0" zoomScale="90" zoomScaleNormal="90" workbookViewId="0">
      <selection activeCell="L25" sqref="L25"/>
    </sheetView>
  </sheetViews>
  <sheetFormatPr defaultRowHeight="15.5" x14ac:dyDescent="0.35"/>
  <cols>
    <col min="1" max="2" width="2.453125" customWidth="1"/>
    <col min="3" max="3" width="4.453125" style="1" customWidth="1"/>
    <col min="4" max="4" width="13.1796875" style="1" customWidth="1"/>
    <col min="5" max="6" width="10.26953125" style="1" customWidth="1"/>
    <col min="7" max="7" width="16.54296875" style="1" customWidth="1"/>
    <col min="8" max="8" width="16.1796875" style="1" customWidth="1"/>
    <col min="9" max="10" width="14.81640625" style="1" customWidth="1"/>
    <col min="11" max="11" width="16.1796875" style="1" customWidth="1"/>
    <col min="12" max="12" width="15.26953125" style="1" customWidth="1"/>
    <col min="13" max="13" width="3.81640625" style="2" customWidth="1"/>
    <col min="14" max="17" width="9.1796875" style="2"/>
  </cols>
  <sheetData>
    <row r="2" spans="3:19" s="2" customFormat="1" x14ac:dyDescent="0.35">
      <c r="C2" s="10" t="s">
        <v>1</v>
      </c>
      <c r="D2" s="1"/>
      <c r="E2" s="1"/>
      <c r="F2" s="1"/>
      <c r="G2" s="1"/>
      <c r="H2" s="1"/>
      <c r="I2" s="11"/>
      <c r="J2" s="11"/>
      <c r="K2" s="12"/>
      <c r="L2" s="1"/>
      <c r="R2"/>
      <c r="S2"/>
    </row>
    <row r="3" spans="3:19" s="2" customFormat="1" x14ac:dyDescent="0.35">
      <c r="C3" s="10">
        <v>1</v>
      </c>
      <c r="D3" s="10" t="s">
        <v>65</v>
      </c>
      <c r="E3" s="3"/>
      <c r="F3" s="3"/>
      <c r="G3" s="3"/>
      <c r="H3" s="1"/>
      <c r="K3" s="12"/>
      <c r="L3" s="1"/>
      <c r="R3"/>
      <c r="S3"/>
    </row>
    <row r="4" spans="3:19" x14ac:dyDescent="0.35">
      <c r="C4" s="10"/>
      <c r="D4" s="4" t="s">
        <v>66</v>
      </c>
      <c r="E4" s="3"/>
      <c r="F4" s="3"/>
      <c r="G4" s="3"/>
      <c r="I4" s="2"/>
      <c r="J4" s="2"/>
    </row>
    <row r="5" spans="3:19" s="2" customFormat="1" x14ac:dyDescent="0.35">
      <c r="C5" s="10"/>
      <c r="D5" s="4" t="s">
        <v>67</v>
      </c>
      <c r="E5" s="3"/>
      <c r="F5" s="3"/>
      <c r="G5" s="3"/>
      <c r="H5" s="1"/>
      <c r="K5" s="1"/>
      <c r="L5" s="1"/>
      <c r="R5"/>
      <c r="S5"/>
    </row>
    <row r="6" spans="3:19" s="2" customFormat="1" x14ac:dyDescent="0.35">
      <c r="H6" s="3"/>
      <c r="K6" s="3"/>
      <c r="L6" s="1"/>
    </row>
    <row r="7" spans="3:19" s="2" customFormat="1" x14ac:dyDescent="0.35">
      <c r="C7" s="30" t="s">
        <v>92</v>
      </c>
      <c r="D7" s="30"/>
      <c r="E7" s="30"/>
      <c r="F7" s="30"/>
      <c r="G7" s="30"/>
      <c r="H7" s="30"/>
      <c r="I7" s="30"/>
      <c r="J7" s="30"/>
      <c r="K7" s="30"/>
      <c r="L7" s="30"/>
    </row>
    <row r="9" spans="3:19" s="2" customFormat="1" ht="36" customHeight="1" x14ac:dyDescent="0.35">
      <c r="C9" s="13" t="s">
        <v>2</v>
      </c>
      <c r="D9" s="14" t="s">
        <v>46</v>
      </c>
      <c r="E9" s="14" t="s">
        <v>68</v>
      </c>
      <c r="F9" s="14" t="s">
        <v>69</v>
      </c>
      <c r="G9" s="14" t="s">
        <v>70</v>
      </c>
      <c r="H9" s="14" t="s">
        <v>71</v>
      </c>
      <c r="I9" s="14" t="s">
        <v>72</v>
      </c>
      <c r="J9" s="14" t="s">
        <v>116</v>
      </c>
      <c r="K9" s="14" t="s">
        <v>73</v>
      </c>
      <c r="L9" s="14" t="s">
        <v>74</v>
      </c>
      <c r="N9" s="11"/>
    </row>
    <row r="10" spans="3:19" s="2" customFormat="1" x14ac:dyDescent="0.35">
      <c r="C10" s="6">
        <v>1</v>
      </c>
      <c r="D10" s="7" t="s">
        <v>27</v>
      </c>
      <c r="E10" s="6">
        <v>45</v>
      </c>
      <c r="F10" s="6">
        <v>15</v>
      </c>
      <c r="G10" s="8">
        <f>E10*10000</f>
        <v>450000</v>
      </c>
      <c r="H10" s="8">
        <f>F10*15000</f>
        <v>225000</v>
      </c>
      <c r="I10" s="8">
        <f>SUM(G10:H10)</f>
        <v>675000</v>
      </c>
      <c r="J10" s="15">
        <f>IF(I10&lt;=700000,2%,5%)</f>
        <v>0.02</v>
      </c>
      <c r="K10" s="8">
        <f>IF(I10&lt;700000,I10*2%,I10*5%)</f>
        <v>13500</v>
      </c>
      <c r="L10" s="8">
        <f>I10-K10</f>
        <v>661500</v>
      </c>
    </row>
    <row r="11" spans="3:19" s="2" customFormat="1" x14ac:dyDescent="0.35">
      <c r="C11" s="6">
        <v>2</v>
      </c>
      <c r="D11" s="7" t="s">
        <v>28</v>
      </c>
      <c r="E11" s="6">
        <v>48</v>
      </c>
      <c r="F11" s="6">
        <v>17</v>
      </c>
      <c r="G11" s="8">
        <f t="shared" ref="G11:G23" si="0">E11*10000</f>
        <v>480000</v>
      </c>
      <c r="H11" s="8">
        <f t="shared" ref="H11:H23" si="1">F11*15000</f>
        <v>255000</v>
      </c>
      <c r="I11" s="8">
        <f t="shared" ref="I11:I23" si="2">SUM(G11:H11)</f>
        <v>735000</v>
      </c>
      <c r="J11" s="15">
        <f t="shared" ref="J11:J23" si="3">IF(I11&lt;=700000,2%,5%)</f>
        <v>0.05</v>
      </c>
      <c r="K11" s="8">
        <f t="shared" ref="K11:K23" si="4">IF(I11&lt;700000,I11*2%,I11*5%)</f>
        <v>36750</v>
      </c>
      <c r="L11" s="8">
        <f t="shared" ref="L11:L23" si="5">I11-K11</f>
        <v>698250</v>
      </c>
    </row>
    <row r="12" spans="3:19" s="2" customFormat="1" x14ac:dyDescent="0.35">
      <c r="C12" s="6">
        <v>3</v>
      </c>
      <c r="D12" s="7" t="s">
        <v>29</v>
      </c>
      <c r="E12" s="6">
        <v>47</v>
      </c>
      <c r="F12" s="6">
        <v>14</v>
      </c>
      <c r="G12" s="8">
        <f t="shared" si="0"/>
        <v>470000</v>
      </c>
      <c r="H12" s="8">
        <f t="shared" si="1"/>
        <v>210000</v>
      </c>
      <c r="I12" s="8">
        <f t="shared" si="2"/>
        <v>680000</v>
      </c>
      <c r="J12" s="15">
        <f t="shared" si="3"/>
        <v>0.02</v>
      </c>
      <c r="K12" s="8">
        <f t="shared" si="4"/>
        <v>13600</v>
      </c>
      <c r="L12" s="8">
        <f t="shared" si="5"/>
        <v>666400</v>
      </c>
    </row>
    <row r="13" spans="3:19" s="2" customFormat="1" x14ac:dyDescent="0.35">
      <c r="C13" s="6">
        <v>4</v>
      </c>
      <c r="D13" s="7" t="s">
        <v>30</v>
      </c>
      <c r="E13" s="6">
        <v>50</v>
      </c>
      <c r="F13" s="6">
        <v>16</v>
      </c>
      <c r="G13" s="8">
        <f t="shared" si="0"/>
        <v>500000</v>
      </c>
      <c r="H13" s="8">
        <f t="shared" si="1"/>
        <v>240000</v>
      </c>
      <c r="I13" s="8">
        <f t="shared" si="2"/>
        <v>740000</v>
      </c>
      <c r="J13" s="15">
        <f t="shared" si="3"/>
        <v>0.05</v>
      </c>
      <c r="K13" s="8">
        <f t="shared" si="4"/>
        <v>37000</v>
      </c>
      <c r="L13" s="8">
        <f t="shared" si="5"/>
        <v>703000</v>
      </c>
    </row>
    <row r="14" spans="3:19" s="2" customFormat="1" x14ac:dyDescent="0.35">
      <c r="C14" s="6">
        <v>5</v>
      </c>
      <c r="D14" s="7" t="s">
        <v>31</v>
      </c>
      <c r="E14" s="6">
        <v>45</v>
      </c>
      <c r="F14" s="6">
        <v>14</v>
      </c>
      <c r="G14" s="8">
        <f t="shared" si="0"/>
        <v>450000</v>
      </c>
      <c r="H14" s="8">
        <f t="shared" si="1"/>
        <v>210000</v>
      </c>
      <c r="I14" s="8">
        <f t="shared" si="2"/>
        <v>660000</v>
      </c>
      <c r="J14" s="15">
        <f t="shared" si="3"/>
        <v>0.02</v>
      </c>
      <c r="K14" s="8">
        <f t="shared" si="4"/>
        <v>13200</v>
      </c>
      <c r="L14" s="8">
        <f t="shared" si="5"/>
        <v>646800</v>
      </c>
    </row>
    <row r="15" spans="3:19" s="2" customFormat="1" x14ac:dyDescent="0.35">
      <c r="C15" s="6">
        <v>6</v>
      </c>
      <c r="D15" s="7" t="s">
        <v>32</v>
      </c>
      <c r="E15" s="6">
        <v>48</v>
      </c>
      <c r="F15" s="6">
        <v>14</v>
      </c>
      <c r="G15" s="8">
        <f t="shared" si="0"/>
        <v>480000</v>
      </c>
      <c r="H15" s="8">
        <f t="shared" si="1"/>
        <v>210000</v>
      </c>
      <c r="I15" s="8">
        <f t="shared" si="2"/>
        <v>690000</v>
      </c>
      <c r="J15" s="15">
        <f t="shared" si="3"/>
        <v>0.02</v>
      </c>
      <c r="K15" s="8">
        <f t="shared" si="4"/>
        <v>13800</v>
      </c>
      <c r="L15" s="8">
        <f t="shared" si="5"/>
        <v>676200</v>
      </c>
    </row>
    <row r="16" spans="3:19" s="2" customFormat="1" x14ac:dyDescent="0.35">
      <c r="C16" s="6">
        <v>7</v>
      </c>
      <c r="D16" s="7" t="s">
        <v>33</v>
      </c>
      <c r="E16" s="6">
        <v>50</v>
      </c>
      <c r="F16" s="6">
        <v>15</v>
      </c>
      <c r="G16" s="8">
        <f t="shared" si="0"/>
        <v>500000</v>
      </c>
      <c r="H16" s="8">
        <f t="shared" si="1"/>
        <v>225000</v>
      </c>
      <c r="I16" s="8">
        <f t="shared" si="2"/>
        <v>725000</v>
      </c>
      <c r="J16" s="15">
        <f t="shared" si="3"/>
        <v>0.05</v>
      </c>
      <c r="K16" s="8">
        <f t="shared" si="4"/>
        <v>36250</v>
      </c>
      <c r="L16" s="8">
        <f t="shared" si="5"/>
        <v>688750</v>
      </c>
    </row>
    <row r="17" spans="3:12" s="2" customFormat="1" x14ac:dyDescent="0.35">
      <c r="C17" s="6">
        <v>8</v>
      </c>
      <c r="D17" s="7" t="s">
        <v>34</v>
      </c>
      <c r="E17" s="6">
        <v>47</v>
      </c>
      <c r="F17" s="6">
        <v>14</v>
      </c>
      <c r="G17" s="8">
        <f t="shared" si="0"/>
        <v>470000</v>
      </c>
      <c r="H17" s="8">
        <f t="shared" si="1"/>
        <v>210000</v>
      </c>
      <c r="I17" s="8">
        <f t="shared" si="2"/>
        <v>680000</v>
      </c>
      <c r="J17" s="15">
        <f t="shared" si="3"/>
        <v>0.02</v>
      </c>
      <c r="K17" s="8">
        <f t="shared" si="4"/>
        <v>13600</v>
      </c>
      <c r="L17" s="8">
        <f t="shared" si="5"/>
        <v>666400</v>
      </c>
    </row>
    <row r="18" spans="3:12" s="2" customFormat="1" x14ac:dyDescent="0.35">
      <c r="C18" s="6">
        <v>9</v>
      </c>
      <c r="D18" s="7" t="s">
        <v>35</v>
      </c>
      <c r="E18" s="6">
        <v>47</v>
      </c>
      <c r="F18" s="6">
        <v>14</v>
      </c>
      <c r="G18" s="8">
        <f t="shared" si="0"/>
        <v>470000</v>
      </c>
      <c r="H18" s="8">
        <f t="shared" si="1"/>
        <v>210000</v>
      </c>
      <c r="I18" s="8">
        <f t="shared" si="2"/>
        <v>680000</v>
      </c>
      <c r="J18" s="15">
        <f t="shared" si="3"/>
        <v>0.02</v>
      </c>
      <c r="K18" s="8">
        <f t="shared" si="4"/>
        <v>13600</v>
      </c>
      <c r="L18" s="8">
        <f t="shared" si="5"/>
        <v>666400</v>
      </c>
    </row>
    <row r="19" spans="3:12" s="2" customFormat="1" x14ac:dyDescent="0.35">
      <c r="C19" s="6">
        <v>10</v>
      </c>
      <c r="D19" s="7" t="s">
        <v>36</v>
      </c>
      <c r="E19" s="6">
        <v>48</v>
      </c>
      <c r="F19" s="6">
        <v>16</v>
      </c>
      <c r="G19" s="8">
        <f t="shared" si="0"/>
        <v>480000</v>
      </c>
      <c r="H19" s="8">
        <f t="shared" si="1"/>
        <v>240000</v>
      </c>
      <c r="I19" s="8">
        <f t="shared" si="2"/>
        <v>720000</v>
      </c>
      <c r="J19" s="15">
        <f t="shared" si="3"/>
        <v>0.05</v>
      </c>
      <c r="K19" s="8">
        <f t="shared" si="4"/>
        <v>36000</v>
      </c>
      <c r="L19" s="8">
        <f t="shared" si="5"/>
        <v>684000</v>
      </c>
    </row>
    <row r="20" spans="3:12" s="2" customFormat="1" x14ac:dyDescent="0.35">
      <c r="C20" s="6">
        <v>11</v>
      </c>
      <c r="D20" s="7" t="s">
        <v>37</v>
      </c>
      <c r="E20" s="6">
        <v>47</v>
      </c>
      <c r="F20" s="6">
        <v>16</v>
      </c>
      <c r="G20" s="8">
        <f t="shared" si="0"/>
        <v>470000</v>
      </c>
      <c r="H20" s="8">
        <f t="shared" si="1"/>
        <v>240000</v>
      </c>
      <c r="I20" s="8">
        <f t="shared" si="2"/>
        <v>710000</v>
      </c>
      <c r="J20" s="15">
        <f t="shared" si="3"/>
        <v>0.05</v>
      </c>
      <c r="K20" s="8">
        <f t="shared" si="4"/>
        <v>35500</v>
      </c>
      <c r="L20" s="8">
        <f t="shared" si="5"/>
        <v>674500</v>
      </c>
    </row>
    <row r="21" spans="3:12" s="2" customFormat="1" x14ac:dyDescent="0.35">
      <c r="C21" s="6">
        <v>12</v>
      </c>
      <c r="D21" s="7" t="s">
        <v>38</v>
      </c>
      <c r="E21" s="6">
        <v>46</v>
      </c>
      <c r="F21" s="6">
        <v>17</v>
      </c>
      <c r="G21" s="8">
        <f t="shared" si="0"/>
        <v>460000</v>
      </c>
      <c r="H21" s="8">
        <f t="shared" si="1"/>
        <v>255000</v>
      </c>
      <c r="I21" s="8">
        <f t="shared" si="2"/>
        <v>715000</v>
      </c>
      <c r="J21" s="15">
        <f t="shared" si="3"/>
        <v>0.05</v>
      </c>
      <c r="K21" s="8">
        <f t="shared" si="4"/>
        <v>35750</v>
      </c>
      <c r="L21" s="8">
        <f t="shared" si="5"/>
        <v>679250</v>
      </c>
    </row>
    <row r="22" spans="3:12" s="2" customFormat="1" x14ac:dyDescent="0.35">
      <c r="C22" s="6">
        <v>13</v>
      </c>
      <c r="D22" s="7" t="s">
        <v>39</v>
      </c>
      <c r="E22" s="6">
        <v>45</v>
      </c>
      <c r="F22" s="6">
        <v>19</v>
      </c>
      <c r="G22" s="8">
        <f t="shared" si="0"/>
        <v>450000</v>
      </c>
      <c r="H22" s="8">
        <f t="shared" si="1"/>
        <v>285000</v>
      </c>
      <c r="I22" s="8">
        <f t="shared" si="2"/>
        <v>735000</v>
      </c>
      <c r="J22" s="15">
        <f t="shared" si="3"/>
        <v>0.05</v>
      </c>
      <c r="K22" s="8">
        <f t="shared" si="4"/>
        <v>36750</v>
      </c>
      <c r="L22" s="8">
        <f t="shared" si="5"/>
        <v>698250</v>
      </c>
    </row>
    <row r="23" spans="3:12" s="2" customFormat="1" x14ac:dyDescent="0.35">
      <c r="C23" s="6">
        <v>14</v>
      </c>
      <c r="D23" s="7" t="s">
        <v>40</v>
      </c>
      <c r="E23" s="6">
        <v>50</v>
      </c>
      <c r="F23" s="6">
        <v>14</v>
      </c>
      <c r="G23" s="8">
        <f t="shared" si="0"/>
        <v>500000</v>
      </c>
      <c r="H23" s="8">
        <f t="shared" si="1"/>
        <v>210000</v>
      </c>
      <c r="I23" s="8">
        <f t="shared" si="2"/>
        <v>710000</v>
      </c>
      <c r="J23" s="15">
        <f t="shared" si="3"/>
        <v>0.05</v>
      </c>
      <c r="K23" s="8">
        <f t="shared" si="4"/>
        <v>35500</v>
      </c>
      <c r="L23" s="8">
        <f t="shared" si="5"/>
        <v>674500</v>
      </c>
    </row>
    <row r="24" spans="3:12" s="2" customFormat="1" x14ac:dyDescent="0.35">
      <c r="C24" s="31" t="s">
        <v>75</v>
      </c>
      <c r="D24" s="31"/>
      <c r="E24" s="31"/>
      <c r="F24" s="31"/>
      <c r="G24" s="31"/>
      <c r="H24" s="31"/>
      <c r="I24" s="31"/>
      <c r="J24" s="31"/>
      <c r="K24" s="31"/>
      <c r="L24" s="9">
        <f>SUM(L10:L23)</f>
        <v>9484200</v>
      </c>
    </row>
    <row r="25" spans="3:12" s="2" customFormat="1" x14ac:dyDescent="0.35">
      <c r="C25" s="31" t="s">
        <v>117</v>
      </c>
      <c r="D25" s="31"/>
      <c r="E25" s="31"/>
      <c r="F25" s="31"/>
      <c r="G25" s="31"/>
      <c r="H25" s="31"/>
      <c r="I25" s="31"/>
      <c r="J25" s="31"/>
      <c r="K25" s="31"/>
      <c r="L25" s="9">
        <f>SUMIFS(L10:L23,$F$10:$F$23,"&gt;15")</f>
        <v>4137250</v>
      </c>
    </row>
    <row r="26" spans="3:12" s="2" customFormat="1" x14ac:dyDescent="0.35">
      <c r="C26" s="3"/>
      <c r="D26" s="3"/>
      <c r="E26" s="1"/>
      <c r="F26" s="1"/>
      <c r="G26" s="1"/>
      <c r="H26" s="1"/>
      <c r="I26" s="1"/>
      <c r="J26" s="1"/>
      <c r="K26" s="1"/>
      <c r="L26" s="1"/>
    </row>
    <row r="27" spans="3:12" s="2" customFormat="1" x14ac:dyDescent="0.35">
      <c r="C27" s="3"/>
      <c r="D27" s="3"/>
      <c r="E27" s="1"/>
      <c r="F27" s="1"/>
      <c r="G27" s="1"/>
      <c r="H27" s="1"/>
      <c r="I27" s="1"/>
      <c r="J27" s="1"/>
      <c r="K27" s="1"/>
      <c r="L27" s="1"/>
    </row>
    <row r="28" spans="3:12" s="2" customFormat="1" x14ac:dyDescent="0.35">
      <c r="C28" s="3"/>
      <c r="D28" s="3"/>
      <c r="E28" s="1"/>
      <c r="F28" s="1"/>
      <c r="G28" s="1"/>
      <c r="H28" s="1"/>
      <c r="I28" s="1"/>
      <c r="J28" s="1"/>
      <c r="K28" s="1"/>
      <c r="L28" s="1"/>
    </row>
    <row r="29" spans="3:12" s="2" customFormat="1" x14ac:dyDescent="0.35">
      <c r="C29" s="3"/>
      <c r="D29" s="3"/>
      <c r="E29" s="1"/>
      <c r="F29" s="1"/>
      <c r="G29" s="1"/>
      <c r="H29" s="1"/>
      <c r="I29" s="1"/>
      <c r="J29" s="1"/>
      <c r="K29" s="1"/>
      <c r="L29" s="1"/>
    </row>
    <row r="30" spans="3:12" s="2" customFormat="1" x14ac:dyDescent="0.35">
      <c r="C30" s="3"/>
      <c r="D30" s="3"/>
      <c r="E30" s="1"/>
      <c r="F30" s="1"/>
      <c r="G30" s="1"/>
      <c r="H30" s="1"/>
      <c r="I30" s="1"/>
      <c r="J30" s="1"/>
      <c r="K30" s="1"/>
      <c r="L30" s="1"/>
    </row>
  </sheetData>
  <mergeCells count="3">
    <mergeCell ref="C7:L7"/>
    <mergeCell ref="C24:K24"/>
    <mergeCell ref="C25:K25"/>
  </mergeCells>
  <conditionalFormatting sqref="G10:L23">
    <cfRule type="containsBlanks" dxfId="7" priority="2">
      <formula>LEN(TRIM(G10))=0</formula>
    </cfRule>
  </conditionalFormatting>
  <conditionalFormatting sqref="L24:L25">
    <cfRule type="containsBlanks" dxfId="6" priority="1">
      <formula>LEN(TRIM(L24))=0</formula>
    </cfRule>
  </conditionalFormatting>
  <pageMargins left="0.57999999999999996" right="0.27" top="0.75" bottom="0.75" header="0.3" footer="0.3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9225E-CFF8-4FE9-9E15-DB606F998E0A}">
  <dimension ref="C2:M37"/>
  <sheetViews>
    <sheetView showGridLines="0" topLeftCell="A7" zoomScaleNormal="100" workbookViewId="0">
      <selection activeCell="E21" sqref="E21"/>
    </sheetView>
  </sheetViews>
  <sheetFormatPr defaultRowHeight="15.5" outlineLevelCol="1" x14ac:dyDescent="0.35"/>
  <cols>
    <col min="1" max="1" width="4.26953125" customWidth="1"/>
    <col min="2" max="2" width="6.81640625" customWidth="1"/>
    <col min="3" max="3" width="4.453125" style="1" customWidth="1"/>
    <col min="4" max="4" width="15.7265625" style="1" customWidth="1"/>
    <col min="5" max="5" width="12" style="1" customWidth="1"/>
    <col min="6" max="6" width="10.7265625" style="1" customWidth="1"/>
    <col min="7" max="7" width="16.7265625" style="1" customWidth="1"/>
    <col min="8" max="8" width="16.1796875" style="1" customWidth="1"/>
    <col min="9" max="9" width="10.1796875" style="2" customWidth="1"/>
    <col min="10" max="11" width="9.1796875" style="2" customWidth="1" outlineLevel="1"/>
    <col min="12" max="13" width="9.1796875" style="2"/>
  </cols>
  <sheetData>
    <row r="2" spans="3:11" s="2" customFormat="1" x14ac:dyDescent="0.35">
      <c r="C2" s="10" t="s">
        <v>1</v>
      </c>
      <c r="D2" s="1"/>
      <c r="E2" s="1"/>
      <c r="F2" s="1"/>
      <c r="G2" s="1"/>
      <c r="H2" s="1"/>
    </row>
    <row r="3" spans="3:11" s="2" customFormat="1" x14ac:dyDescent="0.35">
      <c r="C3" s="10">
        <v>1</v>
      </c>
      <c r="D3" s="3" t="s">
        <v>76</v>
      </c>
      <c r="E3" s="3"/>
      <c r="F3" s="3"/>
      <c r="G3" s="3"/>
      <c r="H3" s="3"/>
    </row>
    <row r="4" spans="3:11" s="2" customFormat="1" x14ac:dyDescent="0.35">
      <c r="C4" s="10"/>
      <c r="D4" s="18" t="s">
        <v>100</v>
      </c>
      <c r="E4" s="5" t="s">
        <v>80</v>
      </c>
      <c r="F4" s="3"/>
      <c r="G4" s="3"/>
      <c r="H4" s="3"/>
    </row>
    <row r="5" spans="3:11" s="2" customFormat="1" x14ac:dyDescent="0.35">
      <c r="C5" s="10"/>
      <c r="D5" s="16" t="s">
        <v>94</v>
      </c>
      <c r="E5" s="17" t="s">
        <v>97</v>
      </c>
      <c r="F5" s="3"/>
      <c r="G5" s="3"/>
      <c r="H5" s="3"/>
    </row>
    <row r="6" spans="3:11" s="2" customFormat="1" x14ac:dyDescent="0.35">
      <c r="C6" s="10"/>
      <c r="D6" s="16" t="s">
        <v>95</v>
      </c>
      <c r="E6" s="17" t="s">
        <v>98</v>
      </c>
      <c r="F6" s="3"/>
      <c r="G6" s="3"/>
      <c r="H6" s="3"/>
    </row>
    <row r="7" spans="3:11" s="2" customFormat="1" x14ac:dyDescent="0.35">
      <c r="C7" s="10"/>
      <c r="D7" s="16" t="s">
        <v>96</v>
      </c>
      <c r="E7" s="17" t="s">
        <v>99</v>
      </c>
      <c r="F7" s="3"/>
      <c r="G7" s="3"/>
      <c r="H7" s="3"/>
    </row>
    <row r="8" spans="3:11" s="2" customFormat="1" x14ac:dyDescent="0.35">
      <c r="C8" s="10">
        <v>2</v>
      </c>
      <c r="D8" s="4" t="s">
        <v>77</v>
      </c>
      <c r="E8" s="3"/>
      <c r="F8" s="3"/>
      <c r="G8" s="3"/>
      <c r="H8" s="3"/>
    </row>
    <row r="9" spans="3:11" s="2" customFormat="1" x14ac:dyDescent="0.35">
      <c r="C9" s="10"/>
      <c r="D9" s="18" t="s">
        <v>100</v>
      </c>
      <c r="E9" s="5" t="s">
        <v>82</v>
      </c>
      <c r="F9" s="3"/>
      <c r="G9" s="3"/>
      <c r="H9" s="3"/>
    </row>
    <row r="10" spans="3:11" s="2" customFormat="1" x14ac:dyDescent="0.35">
      <c r="C10" s="10"/>
      <c r="D10" s="16" t="s">
        <v>101</v>
      </c>
      <c r="E10" s="17" t="s">
        <v>103</v>
      </c>
      <c r="F10" s="3"/>
      <c r="G10" s="3"/>
      <c r="H10" s="3"/>
    </row>
    <row r="11" spans="3:11" s="2" customFormat="1" x14ac:dyDescent="0.35">
      <c r="C11" s="10"/>
      <c r="D11" s="16" t="s">
        <v>102</v>
      </c>
      <c r="E11" s="17" t="s">
        <v>104</v>
      </c>
      <c r="F11" s="3"/>
      <c r="G11" s="3"/>
      <c r="H11" s="3"/>
    </row>
    <row r="12" spans="3:11" s="2" customFormat="1" x14ac:dyDescent="0.35">
      <c r="C12" s="30" t="s">
        <v>78</v>
      </c>
      <c r="D12" s="30"/>
      <c r="E12" s="30"/>
      <c r="F12" s="30"/>
      <c r="G12" s="30"/>
      <c r="H12" s="30"/>
    </row>
    <row r="14" spans="3:11" s="2" customFormat="1" ht="36" customHeight="1" x14ac:dyDescent="0.35">
      <c r="C14" s="13" t="s">
        <v>2</v>
      </c>
      <c r="D14" s="14" t="s">
        <v>79</v>
      </c>
      <c r="E14" s="14" t="s">
        <v>80</v>
      </c>
      <c r="F14" s="14" t="s">
        <v>81</v>
      </c>
      <c r="G14" s="14" t="s">
        <v>82</v>
      </c>
      <c r="H14" s="14" t="s">
        <v>83</v>
      </c>
      <c r="J14" s="14" t="s">
        <v>105</v>
      </c>
      <c r="K14" s="14" t="s">
        <v>106</v>
      </c>
    </row>
    <row r="15" spans="3:11" s="2" customFormat="1" x14ac:dyDescent="0.35">
      <c r="C15" s="6">
        <v>1</v>
      </c>
      <c r="D15" s="7" t="s">
        <v>84</v>
      </c>
      <c r="E15" s="6" t="str">
        <f>VLOOKUP(J15,$D$4:$E$7,2,0)</f>
        <v>Bali</v>
      </c>
      <c r="F15" s="6">
        <v>100</v>
      </c>
      <c r="G15" s="6" t="str">
        <f>VLOOKUP(K15,$D$9:$E$11,2,0)</f>
        <v>Biasa</v>
      </c>
      <c r="H15" s="8">
        <v>2000000</v>
      </c>
      <c r="J15" s="23" t="str">
        <f>LEFT(D15,2)</f>
        <v>BL</v>
      </c>
      <c r="K15" s="23" t="str">
        <f>RIGHT(D15,2)</f>
        <v>BS</v>
      </c>
    </row>
    <row r="16" spans="3:11" s="2" customFormat="1" x14ac:dyDescent="0.35">
      <c r="C16" s="6">
        <v>2</v>
      </c>
      <c r="D16" s="7" t="s">
        <v>85</v>
      </c>
      <c r="E16" s="6" t="str">
        <f t="shared" ref="E16:E28" si="0">VLOOKUP(J16,$D$4:$E$7,2,0)</f>
        <v>Bali</v>
      </c>
      <c r="F16" s="6">
        <v>300</v>
      </c>
      <c r="G16" s="6" t="str">
        <f t="shared" ref="G16:G28" si="1">VLOOKUP(K16,$D$9:$E$11,2,0)</f>
        <v>Istimewa</v>
      </c>
      <c r="H16" s="8">
        <v>2000000</v>
      </c>
      <c r="J16" s="23" t="str">
        <f t="shared" ref="J16:J28" si="2">LEFT(D16,2)</f>
        <v>BL</v>
      </c>
      <c r="K16" s="23" t="str">
        <f t="shared" ref="K16:K28" si="3">RIGHT(D16,2)</f>
        <v>IS</v>
      </c>
    </row>
    <row r="17" spans="3:11" s="2" customFormat="1" x14ac:dyDescent="0.35">
      <c r="C17" s="6">
        <v>3</v>
      </c>
      <c r="D17" s="7" t="s">
        <v>86</v>
      </c>
      <c r="E17" s="6" t="str">
        <f t="shared" si="0"/>
        <v>Bandung</v>
      </c>
      <c r="F17" s="6">
        <v>200</v>
      </c>
      <c r="G17" s="6" t="str">
        <f t="shared" si="1"/>
        <v>Biasa</v>
      </c>
      <c r="H17" s="8">
        <v>2000000</v>
      </c>
      <c r="J17" s="23" t="str">
        <f t="shared" si="2"/>
        <v>BD</v>
      </c>
      <c r="K17" s="23" t="str">
        <f t="shared" si="3"/>
        <v>BS</v>
      </c>
    </row>
    <row r="18" spans="3:11" s="2" customFormat="1" x14ac:dyDescent="0.35">
      <c r="C18" s="6">
        <v>4</v>
      </c>
      <c r="D18" s="7" t="s">
        <v>87</v>
      </c>
      <c r="E18" s="6" t="str">
        <f t="shared" si="0"/>
        <v>Bandung</v>
      </c>
      <c r="F18" s="6">
        <v>100</v>
      </c>
      <c r="G18" s="6" t="str">
        <f t="shared" si="1"/>
        <v>Istimewa</v>
      </c>
      <c r="H18" s="8">
        <v>2000000</v>
      </c>
      <c r="J18" s="23" t="str">
        <f t="shared" si="2"/>
        <v>BD</v>
      </c>
      <c r="K18" s="23" t="str">
        <f t="shared" si="3"/>
        <v>IS</v>
      </c>
    </row>
    <row r="19" spans="3:11" s="2" customFormat="1" x14ac:dyDescent="0.35">
      <c r="C19" s="6">
        <v>5</v>
      </c>
      <c r="D19" s="7" t="s">
        <v>88</v>
      </c>
      <c r="E19" s="6" t="str">
        <f t="shared" si="0"/>
        <v>Lombok</v>
      </c>
      <c r="F19" s="6">
        <v>100</v>
      </c>
      <c r="G19" s="6" t="str">
        <f t="shared" si="1"/>
        <v>Biasa</v>
      </c>
      <c r="H19" s="8">
        <v>2000000</v>
      </c>
      <c r="J19" s="23" t="str">
        <f t="shared" si="2"/>
        <v>LB</v>
      </c>
      <c r="K19" s="23" t="str">
        <f t="shared" si="3"/>
        <v>BS</v>
      </c>
    </row>
    <row r="20" spans="3:11" s="2" customFormat="1" x14ac:dyDescent="0.35">
      <c r="C20" s="6">
        <v>6</v>
      </c>
      <c r="D20" s="7" t="s">
        <v>89</v>
      </c>
      <c r="E20" s="6" t="str">
        <f t="shared" si="0"/>
        <v>Bandung</v>
      </c>
      <c r="F20" s="6">
        <v>200</v>
      </c>
      <c r="G20" s="6" t="str">
        <f t="shared" si="1"/>
        <v>Istimewa</v>
      </c>
      <c r="H20" s="8">
        <v>2000000</v>
      </c>
      <c r="J20" s="23" t="str">
        <f t="shared" si="2"/>
        <v>BD</v>
      </c>
      <c r="K20" s="23" t="str">
        <f t="shared" si="3"/>
        <v>IS</v>
      </c>
    </row>
    <row r="21" spans="3:11" s="2" customFormat="1" x14ac:dyDescent="0.35">
      <c r="C21" s="6">
        <v>7</v>
      </c>
      <c r="D21" s="7" t="s">
        <v>87</v>
      </c>
      <c r="E21" s="6" t="str">
        <f t="shared" si="0"/>
        <v>Bandung</v>
      </c>
      <c r="F21" s="6">
        <v>100</v>
      </c>
      <c r="G21" s="6" t="str">
        <f t="shared" si="1"/>
        <v>Istimewa</v>
      </c>
      <c r="H21" s="8">
        <v>2000000</v>
      </c>
      <c r="J21" s="23" t="str">
        <f t="shared" si="2"/>
        <v>BD</v>
      </c>
      <c r="K21" s="23" t="str">
        <f t="shared" si="3"/>
        <v>IS</v>
      </c>
    </row>
    <row r="22" spans="3:11" s="2" customFormat="1" x14ac:dyDescent="0.35">
      <c r="C22" s="6">
        <v>8</v>
      </c>
      <c r="D22" s="7" t="s">
        <v>88</v>
      </c>
      <c r="E22" s="6" t="str">
        <f t="shared" si="0"/>
        <v>Lombok</v>
      </c>
      <c r="F22" s="6">
        <v>100</v>
      </c>
      <c r="G22" s="6" t="str">
        <f t="shared" si="1"/>
        <v>Biasa</v>
      </c>
      <c r="H22" s="8">
        <v>2000000</v>
      </c>
      <c r="J22" s="23" t="str">
        <f t="shared" si="2"/>
        <v>LB</v>
      </c>
      <c r="K22" s="23" t="str">
        <f t="shared" si="3"/>
        <v>BS</v>
      </c>
    </row>
    <row r="23" spans="3:11" s="2" customFormat="1" x14ac:dyDescent="0.35">
      <c r="C23" s="6">
        <v>9</v>
      </c>
      <c r="D23" s="7" t="s">
        <v>88</v>
      </c>
      <c r="E23" s="6" t="str">
        <f t="shared" si="0"/>
        <v>Lombok</v>
      </c>
      <c r="F23" s="6">
        <v>100</v>
      </c>
      <c r="G23" s="6" t="str">
        <f t="shared" si="1"/>
        <v>Biasa</v>
      </c>
      <c r="H23" s="8">
        <v>2000000</v>
      </c>
      <c r="J23" s="23" t="str">
        <f t="shared" si="2"/>
        <v>LB</v>
      </c>
      <c r="K23" s="23" t="str">
        <f t="shared" si="3"/>
        <v>BS</v>
      </c>
    </row>
    <row r="24" spans="3:11" s="2" customFormat="1" x14ac:dyDescent="0.35">
      <c r="C24" s="6">
        <v>10</v>
      </c>
      <c r="D24" s="7" t="s">
        <v>90</v>
      </c>
      <c r="E24" s="6" t="str">
        <f t="shared" si="0"/>
        <v>Bali</v>
      </c>
      <c r="F24" s="6">
        <v>100</v>
      </c>
      <c r="G24" s="6" t="str">
        <f t="shared" si="1"/>
        <v>Istimewa</v>
      </c>
      <c r="H24" s="8">
        <v>2000000</v>
      </c>
      <c r="J24" s="23" t="str">
        <f t="shared" si="2"/>
        <v>BL</v>
      </c>
      <c r="K24" s="23" t="str">
        <f t="shared" si="3"/>
        <v>IS</v>
      </c>
    </row>
    <row r="25" spans="3:11" s="2" customFormat="1" x14ac:dyDescent="0.35">
      <c r="C25" s="6">
        <v>11</v>
      </c>
      <c r="D25" s="7" t="s">
        <v>91</v>
      </c>
      <c r="E25" s="6" t="str">
        <f t="shared" si="0"/>
        <v>Lombok</v>
      </c>
      <c r="F25" s="6">
        <v>100</v>
      </c>
      <c r="G25" s="6" t="str">
        <f t="shared" si="1"/>
        <v>Istimewa</v>
      </c>
      <c r="H25" s="8">
        <v>2000000</v>
      </c>
      <c r="J25" s="23" t="str">
        <f t="shared" si="2"/>
        <v>LB</v>
      </c>
      <c r="K25" s="23" t="str">
        <f t="shared" si="3"/>
        <v>IS</v>
      </c>
    </row>
    <row r="26" spans="3:11" s="2" customFormat="1" x14ac:dyDescent="0.35">
      <c r="C26" s="6">
        <v>12</v>
      </c>
      <c r="D26" s="7" t="s">
        <v>88</v>
      </c>
      <c r="E26" s="6" t="str">
        <f t="shared" si="0"/>
        <v>Lombok</v>
      </c>
      <c r="F26" s="6">
        <v>100</v>
      </c>
      <c r="G26" s="6" t="str">
        <f t="shared" si="1"/>
        <v>Biasa</v>
      </c>
      <c r="H26" s="8">
        <v>2000000</v>
      </c>
      <c r="J26" s="23" t="str">
        <f t="shared" si="2"/>
        <v>LB</v>
      </c>
      <c r="K26" s="23" t="str">
        <f t="shared" si="3"/>
        <v>BS</v>
      </c>
    </row>
    <row r="27" spans="3:11" s="2" customFormat="1" x14ac:dyDescent="0.35">
      <c r="C27" s="6">
        <v>13</v>
      </c>
      <c r="D27" s="7" t="s">
        <v>88</v>
      </c>
      <c r="E27" s="6" t="str">
        <f t="shared" si="0"/>
        <v>Lombok</v>
      </c>
      <c r="F27" s="6">
        <v>100</v>
      </c>
      <c r="G27" s="6" t="str">
        <f t="shared" si="1"/>
        <v>Biasa</v>
      </c>
      <c r="H27" s="8">
        <v>2000000</v>
      </c>
      <c r="J27" s="23" t="str">
        <f t="shared" si="2"/>
        <v>LB</v>
      </c>
      <c r="K27" s="23" t="str">
        <f t="shared" si="3"/>
        <v>BS</v>
      </c>
    </row>
    <row r="28" spans="3:11" s="2" customFormat="1" x14ac:dyDescent="0.35">
      <c r="C28" s="6">
        <v>14</v>
      </c>
      <c r="D28" s="7" t="s">
        <v>91</v>
      </c>
      <c r="E28" s="6" t="str">
        <f t="shared" si="0"/>
        <v>Lombok</v>
      </c>
      <c r="F28" s="6">
        <v>100</v>
      </c>
      <c r="G28" s="6" t="str">
        <f t="shared" si="1"/>
        <v>Istimewa</v>
      </c>
      <c r="H28" s="8">
        <v>2000000</v>
      </c>
      <c r="J28" s="23" t="str">
        <f t="shared" si="2"/>
        <v>LB</v>
      </c>
      <c r="K28" s="23" t="str">
        <f t="shared" si="3"/>
        <v>IS</v>
      </c>
    </row>
    <row r="29" spans="3:11" s="2" customFormat="1" x14ac:dyDescent="0.35">
      <c r="C29" s="3"/>
      <c r="D29" s="3"/>
      <c r="E29" s="1"/>
      <c r="F29" s="1"/>
      <c r="G29" s="1"/>
      <c r="H29" s="1"/>
    </row>
    <row r="30" spans="3:11" s="2" customFormat="1" x14ac:dyDescent="0.35">
      <c r="C30" s="3"/>
      <c r="D30" s="3"/>
      <c r="E30" s="1"/>
      <c r="F30" s="1"/>
      <c r="G30" s="1"/>
      <c r="H30" s="1"/>
    </row>
    <row r="31" spans="3:11" s="2" customFormat="1" x14ac:dyDescent="0.35">
      <c r="C31" s="3"/>
      <c r="D31" s="3"/>
      <c r="E31" s="1"/>
      <c r="F31" s="1"/>
      <c r="G31" s="1"/>
      <c r="H31" s="1"/>
    </row>
    <row r="32" spans="3:11" s="2" customFormat="1" x14ac:dyDescent="0.35">
      <c r="C32" s="3"/>
      <c r="D32" s="3"/>
      <c r="E32" s="1"/>
      <c r="F32" s="1"/>
      <c r="G32" s="1"/>
      <c r="H32" s="1"/>
    </row>
    <row r="33" spans="3:8" s="2" customFormat="1" x14ac:dyDescent="0.35">
      <c r="C33" s="3"/>
      <c r="D33" s="3"/>
      <c r="E33" s="1"/>
      <c r="F33" s="1"/>
      <c r="G33" s="1"/>
      <c r="H33" s="1"/>
    </row>
    <row r="34" spans="3:8" s="2" customFormat="1" x14ac:dyDescent="0.35">
      <c r="C34" s="3"/>
      <c r="D34" s="3"/>
      <c r="E34" s="1"/>
      <c r="F34" s="1"/>
      <c r="G34" s="1"/>
      <c r="H34" s="1"/>
    </row>
    <row r="35" spans="3:8" s="2" customFormat="1" x14ac:dyDescent="0.35">
      <c r="C35" s="3"/>
      <c r="D35" s="3"/>
      <c r="E35" s="1"/>
      <c r="F35" s="1"/>
      <c r="G35" s="1"/>
      <c r="H35" s="1"/>
    </row>
    <row r="36" spans="3:8" s="2" customFormat="1" x14ac:dyDescent="0.35">
      <c r="C36" s="3"/>
      <c r="D36" s="3"/>
      <c r="E36" s="1"/>
      <c r="F36" s="1"/>
      <c r="G36" s="1"/>
      <c r="H36" s="1"/>
    </row>
    <row r="37" spans="3:8" s="2" customFormat="1" x14ac:dyDescent="0.35">
      <c r="C37" s="3"/>
      <c r="D37" s="3"/>
      <c r="E37" s="1"/>
      <c r="F37" s="1"/>
      <c r="G37" s="1"/>
      <c r="H37" s="1"/>
    </row>
  </sheetData>
  <mergeCells count="1">
    <mergeCell ref="C12:H12"/>
  </mergeCells>
  <conditionalFormatting sqref="E15:E28">
    <cfRule type="containsBlanks" dxfId="5" priority="2">
      <formula>LEN(TRIM(E15))=0</formula>
    </cfRule>
  </conditionalFormatting>
  <conditionalFormatting sqref="G15:G28">
    <cfRule type="containsBlanks" dxfId="4" priority="1">
      <formula>LEN(TRIM(G15))=0</formula>
    </cfRule>
  </conditionalFormatting>
  <pageMargins left="0.25" right="0.21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27C7A-890A-4638-AF6B-DC8D50892A11}">
  <dimension ref="C2:N29"/>
  <sheetViews>
    <sheetView showGridLines="0" workbookViewId="0">
      <selection activeCell="C23" sqref="C23:H24"/>
    </sheetView>
  </sheetViews>
  <sheetFormatPr defaultRowHeight="15.5" x14ac:dyDescent="0.35"/>
  <cols>
    <col min="1" max="2" width="2.453125" customWidth="1"/>
    <col min="3" max="3" width="4.453125" style="1" customWidth="1"/>
    <col min="4" max="4" width="15.7265625" style="1" customWidth="1"/>
    <col min="5" max="5" width="20" style="1" customWidth="1"/>
    <col min="6" max="6" width="15" style="1" customWidth="1"/>
    <col min="7" max="7" width="16.7265625" style="1" customWidth="1"/>
    <col min="8" max="8" width="16.1796875" style="1" customWidth="1"/>
    <col min="9" max="9" width="18.81640625" style="1" customWidth="1"/>
    <col min="10" max="10" width="3.81640625" style="2" customWidth="1"/>
    <col min="11" max="14" width="9.1796875" style="2"/>
  </cols>
  <sheetData>
    <row r="2" spans="3:12" s="2" customFormat="1" x14ac:dyDescent="0.35">
      <c r="C2" s="10" t="s">
        <v>1</v>
      </c>
      <c r="D2" s="1"/>
      <c r="E2" s="1"/>
      <c r="F2" s="1"/>
      <c r="G2" s="1"/>
      <c r="H2" s="1"/>
      <c r="I2" s="1"/>
    </row>
    <row r="3" spans="3:12" s="2" customFormat="1" x14ac:dyDescent="0.35">
      <c r="C3" s="10">
        <v>1</v>
      </c>
      <c r="D3" s="3" t="s">
        <v>3</v>
      </c>
      <c r="E3" s="3"/>
      <c r="F3" s="3"/>
      <c r="G3" s="3"/>
      <c r="H3" s="3"/>
      <c r="I3" s="1"/>
    </row>
    <row r="4" spans="3:12" s="2" customFormat="1" x14ac:dyDescent="0.35">
      <c r="C4" s="10"/>
      <c r="D4" s="4" t="s">
        <v>4</v>
      </c>
      <c r="E4" s="3"/>
      <c r="F4" s="3"/>
      <c r="G4" s="3"/>
      <c r="H4" s="3"/>
      <c r="I4" s="1"/>
    </row>
    <row r="5" spans="3:12" s="2" customFormat="1" x14ac:dyDescent="0.35">
      <c r="C5" s="10"/>
      <c r="D5" s="4" t="s">
        <v>5</v>
      </c>
      <c r="E5" s="3"/>
      <c r="F5" s="3"/>
      <c r="G5" s="3"/>
      <c r="H5" s="3"/>
      <c r="I5" s="1"/>
    </row>
    <row r="6" spans="3:12" s="2" customFormat="1" x14ac:dyDescent="0.35">
      <c r="C6" s="10">
        <v>2</v>
      </c>
      <c r="D6" s="4" t="s">
        <v>6</v>
      </c>
      <c r="E6" s="3"/>
      <c r="F6" s="3"/>
      <c r="G6" s="3"/>
      <c r="H6" s="3"/>
      <c r="I6" s="1"/>
    </row>
    <row r="7" spans="3:12" s="2" customFormat="1" x14ac:dyDescent="0.35">
      <c r="C7" s="10"/>
      <c r="D7" s="4" t="s">
        <v>7</v>
      </c>
      <c r="E7" s="3"/>
      <c r="F7" s="3"/>
      <c r="G7" s="3"/>
      <c r="H7" s="3"/>
      <c r="K7" s="1" t="s">
        <v>14</v>
      </c>
      <c r="L7" s="2">
        <v>300000</v>
      </c>
    </row>
    <row r="8" spans="3:12" s="2" customFormat="1" x14ac:dyDescent="0.35">
      <c r="C8" s="10"/>
      <c r="D8" s="4" t="s">
        <v>8</v>
      </c>
      <c r="E8" s="3"/>
      <c r="F8" s="3"/>
      <c r="G8" s="3"/>
      <c r="H8" s="3"/>
      <c r="K8" s="1" t="s">
        <v>19</v>
      </c>
      <c r="L8" s="2">
        <v>200000</v>
      </c>
    </row>
    <row r="9" spans="3:12" s="2" customFormat="1" x14ac:dyDescent="0.35">
      <c r="C9" s="10"/>
      <c r="D9" s="4" t="s">
        <v>9</v>
      </c>
      <c r="E9" s="3"/>
      <c r="F9" s="3"/>
      <c r="G9" s="3"/>
      <c r="H9" s="3"/>
      <c r="K9" s="1" t="s">
        <v>17</v>
      </c>
      <c r="L9" s="2">
        <v>100000</v>
      </c>
    </row>
    <row r="10" spans="3:12" s="2" customFormat="1" x14ac:dyDescent="0.35">
      <c r="C10" s="3"/>
      <c r="D10" s="3"/>
      <c r="E10" s="3"/>
      <c r="F10" s="3"/>
      <c r="G10" s="3"/>
      <c r="H10" s="3"/>
      <c r="I10" s="1"/>
    </row>
    <row r="11" spans="3:12" s="2" customFormat="1" x14ac:dyDescent="0.35">
      <c r="C11" s="30" t="s">
        <v>93</v>
      </c>
      <c r="D11" s="30"/>
      <c r="E11" s="30"/>
      <c r="F11" s="30"/>
      <c r="G11" s="30"/>
      <c r="H11" s="30"/>
      <c r="I11" s="30"/>
    </row>
    <row r="13" spans="3:12" s="2" customFormat="1" ht="36" customHeight="1" x14ac:dyDescent="0.35">
      <c r="C13" s="13" t="s">
        <v>2</v>
      </c>
      <c r="D13" s="14" t="s">
        <v>10</v>
      </c>
      <c r="E13" s="14" t="s">
        <v>0</v>
      </c>
      <c r="F13" s="14" t="s">
        <v>11</v>
      </c>
      <c r="G13" s="14" t="s">
        <v>12</v>
      </c>
      <c r="H13" s="14" t="s">
        <v>114</v>
      </c>
      <c r="I13" s="14" t="s">
        <v>113</v>
      </c>
      <c r="K13" s="11"/>
    </row>
    <row r="14" spans="3:12" s="2" customFormat="1" x14ac:dyDescent="0.35">
      <c r="C14" s="6">
        <v>1</v>
      </c>
      <c r="D14" s="7" t="s">
        <v>13</v>
      </c>
      <c r="E14" s="8" t="s">
        <v>14</v>
      </c>
      <c r="F14" s="6" t="s">
        <v>15</v>
      </c>
      <c r="G14" s="8">
        <f>IF(F14="bidan",75000,100000)</f>
        <v>75000</v>
      </c>
      <c r="H14" s="8">
        <f>VLOOKUP(E14,$K$7:$L$9,2,0)</f>
        <v>300000</v>
      </c>
      <c r="I14" s="8">
        <f>G14+H14</f>
        <v>375000</v>
      </c>
    </row>
    <row r="15" spans="3:12" s="2" customFormat="1" x14ac:dyDescent="0.35">
      <c r="C15" s="6">
        <v>2</v>
      </c>
      <c r="D15" s="7" t="s">
        <v>16</v>
      </c>
      <c r="E15" s="8" t="s">
        <v>17</v>
      </c>
      <c r="F15" s="6" t="s">
        <v>15</v>
      </c>
      <c r="G15" s="8">
        <f t="shared" ref="G15:G22" si="0">IF(F15="bidan",75000,100000)</f>
        <v>75000</v>
      </c>
      <c r="H15" s="8">
        <f t="shared" ref="H15:H22" si="1">VLOOKUP(E15,$K$7:$L$9,2,0)</f>
        <v>100000</v>
      </c>
      <c r="I15" s="8">
        <f t="shared" ref="I15:I22" si="2">G15+H15</f>
        <v>175000</v>
      </c>
    </row>
    <row r="16" spans="3:12" s="2" customFormat="1" x14ac:dyDescent="0.35">
      <c r="C16" s="6">
        <v>3</v>
      </c>
      <c r="D16" s="7" t="s">
        <v>18</v>
      </c>
      <c r="E16" s="8" t="s">
        <v>19</v>
      </c>
      <c r="F16" s="6" t="s">
        <v>20</v>
      </c>
      <c r="G16" s="8">
        <f t="shared" si="0"/>
        <v>100000</v>
      </c>
      <c r="H16" s="8">
        <f t="shared" si="1"/>
        <v>200000</v>
      </c>
      <c r="I16" s="8">
        <f t="shared" si="2"/>
        <v>300000</v>
      </c>
    </row>
    <row r="17" spans="3:9" s="2" customFormat="1" x14ac:dyDescent="0.35">
      <c r="C17" s="6">
        <v>4</v>
      </c>
      <c r="D17" s="7" t="s">
        <v>21</v>
      </c>
      <c r="E17" s="8" t="s">
        <v>14</v>
      </c>
      <c r="F17" s="6" t="s">
        <v>20</v>
      </c>
      <c r="G17" s="8">
        <f t="shared" si="0"/>
        <v>100000</v>
      </c>
      <c r="H17" s="8">
        <f t="shared" si="1"/>
        <v>300000</v>
      </c>
      <c r="I17" s="8">
        <f t="shared" si="2"/>
        <v>400000</v>
      </c>
    </row>
    <row r="18" spans="3:9" s="2" customFormat="1" x14ac:dyDescent="0.35">
      <c r="C18" s="6">
        <v>5</v>
      </c>
      <c r="D18" s="7" t="s">
        <v>22</v>
      </c>
      <c r="E18" s="8" t="s">
        <v>14</v>
      </c>
      <c r="F18" s="6" t="s">
        <v>15</v>
      </c>
      <c r="G18" s="8">
        <f t="shared" si="0"/>
        <v>75000</v>
      </c>
      <c r="H18" s="8">
        <f t="shared" si="1"/>
        <v>300000</v>
      </c>
      <c r="I18" s="8">
        <f t="shared" si="2"/>
        <v>375000</v>
      </c>
    </row>
    <row r="19" spans="3:9" s="2" customFormat="1" x14ac:dyDescent="0.35">
      <c r="C19" s="6">
        <v>6</v>
      </c>
      <c r="D19" s="7" t="s">
        <v>23</v>
      </c>
      <c r="E19" s="8" t="s">
        <v>19</v>
      </c>
      <c r="F19" s="6" t="s">
        <v>20</v>
      </c>
      <c r="G19" s="8">
        <f t="shared" si="0"/>
        <v>100000</v>
      </c>
      <c r="H19" s="8">
        <f t="shared" si="1"/>
        <v>200000</v>
      </c>
      <c r="I19" s="8">
        <f t="shared" si="2"/>
        <v>300000</v>
      </c>
    </row>
    <row r="20" spans="3:9" s="2" customFormat="1" x14ac:dyDescent="0.35">
      <c r="C20" s="6">
        <v>7</v>
      </c>
      <c r="D20" s="7" t="s">
        <v>24</v>
      </c>
      <c r="E20" s="8" t="s">
        <v>14</v>
      </c>
      <c r="F20" s="6" t="s">
        <v>15</v>
      </c>
      <c r="G20" s="8">
        <f t="shared" si="0"/>
        <v>75000</v>
      </c>
      <c r="H20" s="8">
        <f t="shared" si="1"/>
        <v>300000</v>
      </c>
      <c r="I20" s="8">
        <f t="shared" si="2"/>
        <v>375000</v>
      </c>
    </row>
    <row r="21" spans="3:9" s="2" customFormat="1" x14ac:dyDescent="0.35">
      <c r="C21" s="6">
        <v>8</v>
      </c>
      <c r="D21" s="7" t="s">
        <v>25</v>
      </c>
      <c r="E21" s="8" t="s">
        <v>17</v>
      </c>
      <c r="F21" s="6" t="s">
        <v>15</v>
      </c>
      <c r="G21" s="8">
        <f t="shared" si="0"/>
        <v>75000</v>
      </c>
      <c r="H21" s="8">
        <f t="shared" si="1"/>
        <v>100000</v>
      </c>
      <c r="I21" s="8">
        <f t="shared" si="2"/>
        <v>175000</v>
      </c>
    </row>
    <row r="22" spans="3:9" s="2" customFormat="1" x14ac:dyDescent="0.35">
      <c r="C22" s="6">
        <v>9</v>
      </c>
      <c r="D22" s="7" t="s">
        <v>26</v>
      </c>
      <c r="E22" s="8" t="s">
        <v>17</v>
      </c>
      <c r="F22" s="6" t="s">
        <v>15</v>
      </c>
      <c r="G22" s="8">
        <f t="shared" si="0"/>
        <v>75000</v>
      </c>
      <c r="H22" s="8">
        <f t="shared" si="1"/>
        <v>100000</v>
      </c>
      <c r="I22" s="8">
        <f t="shared" si="2"/>
        <v>175000</v>
      </c>
    </row>
    <row r="23" spans="3:9" s="2" customFormat="1" x14ac:dyDescent="0.35">
      <c r="C23" s="32" t="s">
        <v>119</v>
      </c>
      <c r="D23" s="32"/>
      <c r="E23" s="32"/>
      <c r="F23" s="32"/>
      <c r="G23" s="32"/>
      <c r="H23" s="32"/>
      <c r="I23" s="8">
        <f>SUMIFS(I14:I22,F14:F22,"bidan")</f>
        <v>1650000</v>
      </c>
    </row>
    <row r="24" spans="3:9" s="2" customFormat="1" x14ac:dyDescent="0.35">
      <c r="C24" s="32" t="s">
        <v>115</v>
      </c>
      <c r="D24" s="32"/>
      <c r="E24" s="32"/>
      <c r="F24" s="32"/>
      <c r="G24" s="32"/>
      <c r="H24" s="32"/>
      <c r="I24" s="8">
        <f>SUMIFS(I14:I22,E14:E22,"C")</f>
        <v>525000</v>
      </c>
    </row>
    <row r="25" spans="3:9" s="2" customFormat="1" x14ac:dyDescent="0.35">
      <c r="C25" s="3"/>
      <c r="D25" s="3"/>
      <c r="E25" s="1"/>
      <c r="F25" s="1"/>
      <c r="G25" s="1"/>
      <c r="H25" s="1"/>
      <c r="I25" s="1"/>
    </row>
    <row r="26" spans="3:9" s="2" customFormat="1" x14ac:dyDescent="0.35">
      <c r="C26" s="3"/>
      <c r="D26" s="3"/>
      <c r="E26" s="1"/>
      <c r="F26" s="1"/>
      <c r="G26" s="1"/>
      <c r="H26" s="1"/>
      <c r="I26" s="1"/>
    </row>
    <row r="27" spans="3:9" s="2" customFormat="1" x14ac:dyDescent="0.35">
      <c r="C27" s="3"/>
      <c r="D27" s="3"/>
      <c r="E27" s="1"/>
      <c r="F27" s="1"/>
      <c r="G27" s="1"/>
      <c r="H27" s="1"/>
      <c r="I27" s="1"/>
    </row>
    <row r="28" spans="3:9" s="2" customFormat="1" x14ac:dyDescent="0.35">
      <c r="C28" s="3"/>
      <c r="D28" s="3"/>
      <c r="E28" s="1"/>
      <c r="F28" s="1"/>
      <c r="G28" s="1"/>
      <c r="H28" s="1"/>
      <c r="I28" s="1"/>
    </row>
    <row r="29" spans="3:9" s="2" customFormat="1" x14ac:dyDescent="0.35">
      <c r="C29" s="3"/>
      <c r="D29" s="3"/>
      <c r="E29" s="1"/>
      <c r="F29" s="1"/>
      <c r="G29" s="1"/>
      <c r="H29" s="1"/>
      <c r="I29" s="1"/>
    </row>
  </sheetData>
  <mergeCells count="3">
    <mergeCell ref="C11:I11"/>
    <mergeCell ref="C23:H23"/>
    <mergeCell ref="C24:H24"/>
  </mergeCells>
  <conditionalFormatting sqref="G14:I22">
    <cfRule type="containsBlanks" dxfId="3" priority="2">
      <formula>LEN(TRIM(G14))=0</formula>
    </cfRule>
  </conditionalFormatting>
  <conditionalFormatting sqref="I23:I24">
    <cfRule type="containsBlanks" dxfId="2" priority="1">
      <formula>LEN(TRIM(I23))=0</formula>
    </cfRule>
  </conditionalFormatting>
  <pageMargins left="0.37" right="0.33" top="0.75" bottom="0.75" header="0.3" footer="0.3"/>
  <pageSetup paperSize="9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208E-DD37-4BCE-A49D-84A8061B1EFF}">
  <dimension ref="C2:M35"/>
  <sheetViews>
    <sheetView showGridLines="0" zoomScaleNormal="100" workbookViewId="0">
      <selection activeCell="C23" sqref="C23:H24"/>
    </sheetView>
  </sheetViews>
  <sheetFormatPr defaultRowHeight="15.5" outlineLevelCol="1" x14ac:dyDescent="0.35"/>
  <cols>
    <col min="1" max="2" width="2.453125" customWidth="1"/>
    <col min="3" max="3" width="4.453125" style="1" customWidth="1"/>
    <col min="4" max="4" width="15.7265625" style="1" customWidth="1"/>
    <col min="5" max="5" width="12.1796875" style="1" customWidth="1"/>
    <col min="6" max="6" width="16.7265625" style="1" customWidth="1"/>
    <col min="7" max="7" width="16.1796875" style="1" customWidth="1"/>
    <col min="8" max="8" width="18.81640625" style="1" customWidth="1"/>
    <col min="9" max="9" width="13.26953125" style="2" customWidth="1"/>
    <col min="10" max="11" width="14.54296875" style="2" hidden="1" customWidth="1" outlineLevel="1"/>
    <col min="12" max="12" width="9.1796875" style="2" hidden="1" customWidth="1" outlineLevel="1"/>
    <col min="13" max="13" width="9.1796875" style="2" collapsed="1"/>
  </cols>
  <sheetData>
    <row r="2" spans="3:12" s="2" customFormat="1" x14ac:dyDescent="0.35">
      <c r="C2" s="10" t="s">
        <v>1</v>
      </c>
      <c r="D2" s="1"/>
      <c r="E2" s="1"/>
      <c r="F2" s="1"/>
      <c r="G2" s="1"/>
      <c r="H2" s="1"/>
    </row>
    <row r="3" spans="3:12" s="2" customFormat="1" x14ac:dyDescent="0.35">
      <c r="C3" s="10">
        <v>1</v>
      </c>
      <c r="D3" s="3" t="s">
        <v>41</v>
      </c>
      <c r="E3" s="3"/>
      <c r="F3" s="3"/>
      <c r="G3" s="3"/>
      <c r="H3" s="1"/>
      <c r="J3" s="24" t="s">
        <v>112</v>
      </c>
      <c r="K3" s="24" t="s">
        <v>107</v>
      </c>
      <c r="L3" s="24" t="s">
        <v>108</v>
      </c>
    </row>
    <row r="4" spans="3:12" s="2" customFormat="1" x14ac:dyDescent="0.35">
      <c r="C4" s="10"/>
      <c r="D4" s="4" t="s">
        <v>42</v>
      </c>
      <c r="E4" s="3"/>
      <c r="F4" s="3"/>
      <c r="G4" s="3"/>
      <c r="H4" s="1"/>
      <c r="J4" s="20">
        <v>0</v>
      </c>
      <c r="K4" s="19" t="s">
        <v>109</v>
      </c>
      <c r="L4" s="21">
        <v>0.02</v>
      </c>
    </row>
    <row r="5" spans="3:12" s="2" customFormat="1" x14ac:dyDescent="0.35">
      <c r="C5" s="10"/>
      <c r="D5" s="4" t="s">
        <v>43</v>
      </c>
      <c r="E5" s="3"/>
      <c r="F5" s="3"/>
      <c r="G5" s="3"/>
      <c r="H5" s="1"/>
      <c r="J5" s="20">
        <v>3000000</v>
      </c>
      <c r="K5" s="19" t="s">
        <v>110</v>
      </c>
      <c r="L5" s="21">
        <v>0.05</v>
      </c>
    </row>
    <row r="6" spans="3:12" s="2" customFormat="1" x14ac:dyDescent="0.35">
      <c r="C6" s="10"/>
      <c r="D6" s="4" t="s">
        <v>44</v>
      </c>
      <c r="E6" s="3"/>
      <c r="F6" s="3"/>
      <c r="G6" s="3"/>
      <c r="H6" s="1"/>
      <c r="J6" s="20">
        <v>5000000</v>
      </c>
      <c r="K6" s="22" t="s">
        <v>111</v>
      </c>
      <c r="L6" s="21">
        <v>0.1</v>
      </c>
    </row>
    <row r="7" spans="3:12" s="2" customFormat="1" x14ac:dyDescent="0.35">
      <c r="C7" s="3"/>
      <c r="D7" s="3"/>
      <c r="E7" s="3"/>
      <c r="F7" s="3"/>
      <c r="G7" s="3"/>
      <c r="H7" s="1"/>
    </row>
    <row r="8" spans="3:12" s="2" customFormat="1" x14ac:dyDescent="0.35">
      <c r="C8" s="30" t="s">
        <v>45</v>
      </c>
      <c r="D8" s="30"/>
      <c r="E8" s="30"/>
      <c r="F8" s="30"/>
      <c r="G8" s="30"/>
      <c r="H8" s="30"/>
    </row>
    <row r="10" spans="3:12" s="2" customFormat="1" ht="36" customHeight="1" x14ac:dyDescent="0.35">
      <c r="C10" s="13" t="s">
        <v>2</v>
      </c>
      <c r="D10" s="13" t="s">
        <v>46</v>
      </c>
      <c r="E10" s="14" t="s">
        <v>47</v>
      </c>
      <c r="F10" s="13" t="s">
        <v>48</v>
      </c>
      <c r="G10" s="14" t="s">
        <v>49</v>
      </c>
      <c r="H10" s="14" t="s">
        <v>50</v>
      </c>
      <c r="J10" s="11"/>
    </row>
    <row r="11" spans="3:12" s="2" customFormat="1" x14ac:dyDescent="0.35">
      <c r="C11" s="6">
        <v>1</v>
      </c>
      <c r="D11" s="7" t="s">
        <v>35</v>
      </c>
      <c r="E11" s="6">
        <v>3</v>
      </c>
      <c r="F11" s="8">
        <v>6500000</v>
      </c>
      <c r="G11" s="15">
        <f>VLOOKUP(F11,$J$4:$L$6,3,1)</f>
        <v>0.1</v>
      </c>
      <c r="H11" s="8">
        <f>F11*G11</f>
        <v>650000</v>
      </c>
    </row>
    <row r="12" spans="3:12" s="2" customFormat="1" x14ac:dyDescent="0.35">
      <c r="C12" s="6">
        <v>2</v>
      </c>
      <c r="D12" s="7" t="s">
        <v>51</v>
      </c>
      <c r="E12" s="6">
        <v>1</v>
      </c>
      <c r="F12" s="8">
        <v>7503000</v>
      </c>
      <c r="G12" s="15">
        <f t="shared" ref="G12:G24" si="0">VLOOKUP(F12,$J$4:$L$6,3,1)</f>
        <v>0.1</v>
      </c>
      <c r="H12" s="8">
        <f t="shared" ref="H12:H24" si="1">F12*G12</f>
        <v>750300</v>
      </c>
    </row>
    <row r="13" spans="3:12" s="2" customFormat="1" x14ac:dyDescent="0.35">
      <c r="C13" s="6">
        <v>3</v>
      </c>
      <c r="D13" s="7" t="s">
        <v>52</v>
      </c>
      <c r="E13" s="6">
        <v>3</v>
      </c>
      <c r="F13" s="8">
        <v>2000000</v>
      </c>
      <c r="G13" s="15">
        <f t="shared" si="0"/>
        <v>0.02</v>
      </c>
      <c r="H13" s="8">
        <f t="shared" si="1"/>
        <v>40000</v>
      </c>
    </row>
    <row r="14" spans="3:12" s="2" customFormat="1" x14ac:dyDescent="0.35">
      <c r="C14" s="6">
        <v>4</v>
      </c>
      <c r="D14" s="7" t="s">
        <v>53</v>
      </c>
      <c r="E14" s="6">
        <v>4</v>
      </c>
      <c r="F14" s="8">
        <v>6530000</v>
      </c>
      <c r="G14" s="15">
        <f t="shared" si="0"/>
        <v>0.1</v>
      </c>
      <c r="H14" s="8">
        <f t="shared" si="1"/>
        <v>653000</v>
      </c>
    </row>
    <row r="15" spans="3:12" s="2" customFormat="1" x14ac:dyDescent="0.35">
      <c r="C15" s="6">
        <v>5</v>
      </c>
      <c r="D15" s="7" t="s">
        <v>54</v>
      </c>
      <c r="E15" s="6">
        <v>2</v>
      </c>
      <c r="F15" s="8">
        <v>5230000</v>
      </c>
      <c r="G15" s="15">
        <f t="shared" si="0"/>
        <v>0.1</v>
      </c>
      <c r="H15" s="8">
        <f t="shared" si="1"/>
        <v>523000</v>
      </c>
    </row>
    <row r="16" spans="3:12" s="2" customFormat="1" x14ac:dyDescent="0.35">
      <c r="C16" s="6">
        <v>6</v>
      </c>
      <c r="D16" s="7" t="s">
        <v>55</v>
      </c>
      <c r="E16" s="6">
        <v>1</v>
      </c>
      <c r="F16" s="8">
        <v>7422000</v>
      </c>
      <c r="G16" s="15">
        <f t="shared" si="0"/>
        <v>0.1</v>
      </c>
      <c r="H16" s="8">
        <f t="shared" si="1"/>
        <v>742200</v>
      </c>
    </row>
    <row r="17" spans="3:13" s="2" customFormat="1" x14ac:dyDescent="0.35">
      <c r="C17" s="6">
        <v>7</v>
      </c>
      <c r="D17" s="7" t="s">
        <v>56</v>
      </c>
      <c r="E17" s="6">
        <v>5</v>
      </c>
      <c r="F17" s="8">
        <v>3526000</v>
      </c>
      <c r="G17" s="15">
        <f t="shared" si="0"/>
        <v>0.05</v>
      </c>
      <c r="H17" s="8">
        <f t="shared" si="1"/>
        <v>176300</v>
      </c>
    </row>
    <row r="18" spans="3:13" s="2" customFormat="1" x14ac:dyDescent="0.35">
      <c r="C18" s="6">
        <v>8</v>
      </c>
      <c r="D18" s="7" t="s">
        <v>57</v>
      </c>
      <c r="E18" s="6">
        <v>4</v>
      </c>
      <c r="F18" s="8">
        <v>6502000</v>
      </c>
      <c r="G18" s="15">
        <f t="shared" si="0"/>
        <v>0.1</v>
      </c>
      <c r="H18" s="8">
        <f t="shared" si="1"/>
        <v>650200</v>
      </c>
    </row>
    <row r="19" spans="3:13" s="2" customFormat="1" x14ac:dyDescent="0.35">
      <c r="C19" s="6">
        <v>9</v>
      </c>
      <c r="D19" s="7" t="s">
        <v>58</v>
      </c>
      <c r="E19" s="6">
        <v>5</v>
      </c>
      <c r="F19" s="8">
        <v>3513000</v>
      </c>
      <c r="G19" s="15">
        <f t="shared" si="0"/>
        <v>0.05</v>
      </c>
      <c r="H19" s="8">
        <f t="shared" si="1"/>
        <v>175650</v>
      </c>
    </row>
    <row r="20" spans="3:13" s="2" customFormat="1" x14ac:dyDescent="0.35">
      <c r="C20" s="6">
        <v>10</v>
      </c>
      <c r="D20" s="7" t="s">
        <v>59</v>
      </c>
      <c r="E20" s="6">
        <v>2</v>
      </c>
      <c r="F20" s="8">
        <v>3526000</v>
      </c>
      <c r="G20" s="15">
        <f t="shared" si="0"/>
        <v>0.05</v>
      </c>
      <c r="H20" s="8">
        <f t="shared" si="1"/>
        <v>176300</v>
      </c>
    </row>
    <row r="21" spans="3:13" s="2" customFormat="1" x14ac:dyDescent="0.35">
      <c r="C21" s="6">
        <v>11</v>
      </c>
      <c r="D21" s="7" t="s">
        <v>60</v>
      </c>
      <c r="E21" s="6">
        <v>2</v>
      </c>
      <c r="F21" s="8">
        <v>4000000</v>
      </c>
      <c r="G21" s="15">
        <f t="shared" si="0"/>
        <v>0.05</v>
      </c>
      <c r="H21" s="8">
        <f t="shared" si="1"/>
        <v>200000</v>
      </c>
    </row>
    <row r="22" spans="3:13" s="2" customFormat="1" x14ac:dyDescent="0.35">
      <c r="C22" s="6">
        <v>12</v>
      </c>
      <c r="D22" s="7" t="s">
        <v>61</v>
      </c>
      <c r="E22" s="6">
        <v>1</v>
      </c>
      <c r="F22" s="8">
        <v>8000000</v>
      </c>
      <c r="G22" s="15">
        <f t="shared" si="0"/>
        <v>0.1</v>
      </c>
      <c r="H22" s="8">
        <f t="shared" si="1"/>
        <v>800000</v>
      </c>
    </row>
    <row r="23" spans="3:13" s="2" customFormat="1" x14ac:dyDescent="0.35">
      <c r="C23" s="6">
        <v>13</v>
      </c>
      <c r="D23" s="7" t="s">
        <v>62</v>
      </c>
      <c r="E23" s="6">
        <v>3</v>
      </c>
      <c r="F23" s="8">
        <v>3200000</v>
      </c>
      <c r="G23" s="15">
        <f t="shared" si="0"/>
        <v>0.05</v>
      </c>
      <c r="H23" s="8">
        <f t="shared" si="1"/>
        <v>160000</v>
      </c>
    </row>
    <row r="24" spans="3:13" s="2" customFormat="1" x14ac:dyDescent="0.35">
      <c r="C24" s="6">
        <v>14</v>
      </c>
      <c r="D24" s="7" t="s">
        <v>63</v>
      </c>
      <c r="E24" s="6">
        <v>3</v>
      </c>
      <c r="F24" s="8">
        <v>6230000</v>
      </c>
      <c r="G24" s="15">
        <f t="shared" si="0"/>
        <v>0.1</v>
      </c>
      <c r="H24" s="8">
        <f t="shared" si="1"/>
        <v>623000</v>
      </c>
    </row>
    <row r="25" spans="3:13" s="2" customFormat="1" x14ac:dyDescent="0.35">
      <c r="C25" s="33" t="s">
        <v>118</v>
      </c>
      <c r="D25" s="34"/>
      <c r="E25" s="34"/>
      <c r="F25" s="34"/>
      <c r="G25" s="35"/>
      <c r="H25" s="8">
        <f>SUM(H11:H24)</f>
        <v>6319950</v>
      </c>
    </row>
    <row r="26" spans="3:13" s="2" customFormat="1" x14ac:dyDescent="0.35">
      <c r="C26" s="33" t="s">
        <v>64</v>
      </c>
      <c r="D26" s="34"/>
      <c r="E26" s="34"/>
      <c r="F26" s="34"/>
      <c r="G26" s="35"/>
      <c r="H26" s="8">
        <f>MAX(F11:F24)</f>
        <v>8000000</v>
      </c>
    </row>
    <row r="27" spans="3:13" s="1" customFormat="1" x14ac:dyDescent="0.35">
      <c r="C27" s="3"/>
      <c r="D27" s="3"/>
      <c r="I27" s="2"/>
      <c r="J27" s="2"/>
      <c r="K27" s="2"/>
      <c r="L27" s="2"/>
      <c r="M27" s="2"/>
    </row>
    <row r="28" spans="3:13" s="1" customFormat="1" x14ac:dyDescent="0.35">
      <c r="C28" s="3"/>
      <c r="D28" s="3"/>
      <c r="I28" s="2"/>
      <c r="J28" s="2"/>
      <c r="K28" s="2"/>
      <c r="L28" s="2"/>
      <c r="M28" s="2"/>
    </row>
    <row r="29" spans="3:13" s="1" customFormat="1" x14ac:dyDescent="0.35">
      <c r="C29" s="3"/>
      <c r="D29" s="3"/>
      <c r="I29" s="2"/>
      <c r="J29" s="2"/>
      <c r="K29" s="2"/>
      <c r="L29" s="2"/>
      <c r="M29" s="2"/>
    </row>
    <row r="30" spans="3:13" s="1" customFormat="1" x14ac:dyDescent="0.35">
      <c r="C30" s="3"/>
      <c r="D30" s="3"/>
      <c r="I30" s="2"/>
      <c r="J30" s="2"/>
      <c r="K30" s="2"/>
      <c r="L30" s="2"/>
      <c r="M30" s="2"/>
    </row>
    <row r="31" spans="3:13" s="1" customFormat="1" x14ac:dyDescent="0.35">
      <c r="C31" s="3"/>
      <c r="D31" s="3"/>
      <c r="I31" s="2"/>
      <c r="J31" s="2"/>
      <c r="K31" s="2"/>
      <c r="L31" s="2"/>
      <c r="M31" s="2"/>
    </row>
    <row r="32" spans="3:13" s="1" customFormat="1" x14ac:dyDescent="0.35">
      <c r="C32" s="3"/>
      <c r="D32" s="3"/>
      <c r="I32" s="2"/>
      <c r="J32" s="2"/>
      <c r="K32" s="2"/>
      <c r="L32" s="2"/>
      <c r="M32" s="2"/>
    </row>
    <row r="33" spans="3:13" s="1" customFormat="1" x14ac:dyDescent="0.35">
      <c r="C33" s="3"/>
      <c r="D33" s="3"/>
      <c r="I33" s="2"/>
      <c r="J33" s="2"/>
      <c r="K33" s="2"/>
      <c r="L33" s="2"/>
      <c r="M33" s="2"/>
    </row>
    <row r="34" spans="3:13" s="1" customFormat="1" x14ac:dyDescent="0.35">
      <c r="C34" s="3"/>
      <c r="D34" s="3"/>
      <c r="I34" s="2"/>
      <c r="J34" s="2"/>
      <c r="K34" s="2"/>
      <c r="L34" s="2"/>
      <c r="M34" s="2"/>
    </row>
    <row r="35" spans="3:13" s="1" customFormat="1" x14ac:dyDescent="0.35">
      <c r="C35" s="3"/>
      <c r="D35" s="3"/>
      <c r="I35" s="2"/>
      <c r="J35" s="2"/>
      <c r="K35" s="2"/>
      <c r="L35" s="2"/>
      <c r="M35" s="2"/>
    </row>
  </sheetData>
  <mergeCells count="3">
    <mergeCell ref="C8:H8"/>
    <mergeCell ref="C25:G25"/>
    <mergeCell ref="C26:G26"/>
  </mergeCells>
  <conditionalFormatting sqref="G11:G24 H11:H26">
    <cfRule type="containsBlanks" dxfId="1" priority="1">
      <formula>LEN(TRIM(G11))=0</formula>
    </cfRule>
  </conditionalFormatting>
  <pageMargins left="0.49" right="0.7" top="0.56999999999999995" bottom="0.47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Soal 1</vt:lpstr>
      <vt:lpstr>Soal 2</vt:lpstr>
      <vt:lpstr>Soal 3</vt:lpstr>
      <vt:lpstr>Soal 4</vt:lpstr>
      <vt:lpstr>1</vt:lpstr>
      <vt:lpstr>2</vt:lpstr>
      <vt:lpstr>3</vt:lpstr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SMKGULA_1501</dc:creator>
  <cp:lastModifiedBy>SHARLEEN LIUVELDA (Comp_HSI)</cp:lastModifiedBy>
  <dcterms:created xsi:type="dcterms:W3CDTF">2015-02-12T04:17:11Z</dcterms:created>
  <dcterms:modified xsi:type="dcterms:W3CDTF">2026-07-24T10:22:28Z</dcterms:modified>
</cp:coreProperties>
</file>