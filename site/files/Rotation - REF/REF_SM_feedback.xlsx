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" sheetId="1" r:id="rId5"/>
  </sheets>
  <definedNames/>
  <calcPr/>
</workbook>
</file>

<file path=xl/sharedStrings.xml><?xml version="1.0" encoding="utf-8"?>
<sst xmlns="http://schemas.openxmlformats.org/spreadsheetml/2006/main" count="286" uniqueCount="129">
  <si>
    <t>Dealer</t>
  </si>
  <si>
    <t>Category</t>
  </si>
  <si>
    <t>Branch</t>
  </si>
  <si>
    <t>Model</t>
  </si>
  <si>
    <t>Stock</t>
  </si>
  <si>
    <t>Sell In Price</t>
  </si>
  <si>
    <t>Jenis Support</t>
  </si>
  <si>
    <t>Current Price</t>
  </si>
  <si>
    <t>Propose Support</t>
  </si>
  <si>
    <t>Total Support</t>
  </si>
  <si>
    <t>SRP Price After Support</t>
  </si>
  <si>
    <t>Remarks</t>
  </si>
  <si>
    <t xml:space="preserve">Competitor Brand </t>
  </si>
  <si>
    <t>Competitor Model</t>
  </si>
  <si>
    <t>Competitor Price</t>
  </si>
  <si>
    <t>Feedback</t>
  </si>
  <si>
    <t>Status</t>
  </si>
  <si>
    <t>Approved Amount</t>
  </si>
  <si>
    <t>Reason</t>
  </si>
  <si>
    <t>CV SENDIRAN AGUNG BERNATO</t>
  </si>
  <si>
    <t>REF</t>
  </si>
  <si>
    <t>BANDUNG</t>
  </si>
  <si>
    <t>AQR-TTD546RBG(WT)</t>
  </si>
  <si>
    <t>9.089.703</t>
  </si>
  <si>
    <t>Kalah Harga</t>
  </si>
  <si>
    <t>11.028.500</t>
  </si>
  <si>
    <t>LG</t>
  </si>
  <si>
    <t>GCFB41FPGAM</t>
  </si>
  <si>
    <t>10.235.015</t>
  </si>
  <si>
    <t>Belum ada mapping kompetitor untuk model AQUA ini</t>
  </si>
  <si>
    <t>AQR-TTD546RBG(BK)</t>
  </si>
  <si>
    <t>8.846.730</t>
  </si>
  <si>
    <t>11.502.200</t>
  </si>
  <si>
    <t>1.300.000</t>
  </si>
  <si>
    <t>10.202.200</t>
  </si>
  <si>
    <t>AQR-CTD506RGG(BK)</t>
  </si>
  <si>
    <t>7.866.459</t>
  </si>
  <si>
    <t>9.512.700</t>
  </si>
  <si>
    <t>1.000.000</t>
  </si>
  <si>
    <t>8.512.700</t>
  </si>
  <si>
    <t>HISENSE</t>
  </si>
  <si>
    <t>RQ558N4IBN</t>
  </si>
  <si>
    <t>6.937.000</t>
  </si>
  <si>
    <t>Brand tidak ada di mapping (HISENSE)</t>
  </si>
  <si>
    <t>AQR-CTD506RGC(CB)</t>
  </si>
  <si>
    <t>7.190.090</t>
  </si>
  <si>
    <t>8.712.700</t>
  </si>
  <si>
    <t>7.937.000</t>
  </si>
  <si>
    <t>RQ556N4IBU</t>
  </si>
  <si>
    <t>PT AKUR PRATAMA</t>
  </si>
  <si>
    <t>AQR-TTD546RBC(CB)</t>
  </si>
  <si>
    <t>8.352.405</t>
  </si>
  <si>
    <t>10.499.000</t>
  </si>
  <si>
    <t>10.099.000</t>
  </si>
  <si>
    <t>SHARP</t>
  </si>
  <si>
    <t>SJ IF51PG CG GLASS</t>
  </si>
  <si>
    <t>10.199.000</t>
  </si>
  <si>
    <t>Tidak sesuai. Model di mapping &gt;&gt; SHARP: SJ-IF60PM-DS | POLYTRON: PRS 510X | SAMSUNG: RF48A4000B4/SE, RF48A4000B4</t>
  </si>
  <si>
    <t>PT UNIVERSAL JOYO LESTARI</t>
  </si>
  <si>
    <t>SURABAYA</t>
  </si>
  <si>
    <t>AQRCTD746RAG(BK)</t>
  </si>
  <si>
    <t>ELECTROLUX</t>
  </si>
  <si>
    <t>EQE5715A-B</t>
  </si>
  <si>
    <t>15.198.000</t>
  </si>
  <si>
    <t>Brand tidak ada di mapping (ELECTROLUX)</t>
  </si>
  <si>
    <t>AQRIG685AMTGB</t>
  </si>
  <si>
    <t>EOL</t>
  </si>
  <si>
    <t>TOSHIBA</t>
  </si>
  <si>
    <t>GRRF610WE-PMF</t>
  </si>
  <si>
    <t>11.248.000</t>
  </si>
  <si>
    <t>ATAKRIB</t>
  </si>
  <si>
    <t>YOGYAKARTA</t>
  </si>
  <si>
    <t>AQR-DTM265RAV(MX)</t>
  </si>
  <si>
    <t>SJ246SI GK</t>
  </si>
  <si>
    <t>OK</t>
  </si>
  <si>
    <t>AQR-DTM285RAV(MX)</t>
  </si>
  <si>
    <t>GN B222SQIF</t>
  </si>
  <si>
    <t>Tidak sesuai. Model di mapping &gt;&gt; SHARP: SJ-326SI-GK | SAMSUNG: RT22FARBDBB1 | LG: GN-B212PQNF</t>
  </si>
  <si>
    <t>AQR-DTM305RAV(MX)</t>
  </si>
  <si>
    <t>SJ326SI GK</t>
  </si>
  <si>
    <t>AQR-DTM268CB(DP)</t>
  </si>
  <si>
    <t>SJ236MN HS</t>
  </si>
  <si>
    <t>Model AQUA tidak ada di Product Mapping</t>
  </si>
  <si>
    <t>AQR-TTD546RBC(BK)</t>
  </si>
  <si>
    <t>SJIF50PMDS</t>
  </si>
  <si>
    <t>AQR-CTD746RAG(BK)U1</t>
  </si>
  <si>
    <t>SJ-IF91PG(BK)</t>
  </si>
  <si>
    <t>OK (cek kode varian: mapping = SJ-IF91PG-GB)</t>
  </si>
  <si>
    <t>POLYTRON</t>
  </si>
  <si>
    <t>PRS-465</t>
  </si>
  <si>
    <t>AQR-VTM515RBC (CB)</t>
  </si>
  <si>
    <t>GN-B392PFFB</t>
  </si>
  <si>
    <t>OK (cek kode varian: mapping = GN-B392PGFB)</t>
  </si>
  <si>
    <t xml:space="preserve">BALI DUTA CAHAYA LESTARI
</t>
  </si>
  <si>
    <t>BALI</t>
  </si>
  <si>
    <t>MIDEA</t>
  </si>
  <si>
    <t>MDRF550FGF28ID</t>
  </si>
  <si>
    <t>MDRF632FIF28ID</t>
  </si>
  <si>
    <t>AQR-415IM(BK)</t>
  </si>
  <si>
    <t>MDRT572EVF50ID</t>
  </si>
  <si>
    <t>Tidak sesuai. Model di mapping &gt;&gt; SHARP: SJ-456SI-GK | POLYTRON: PRM 495X | SAMSUNG: RT35CG5420B1SE | LG: GN-B332PGFB</t>
  </si>
  <si>
    <t>AQR-VTM515RBC(CB)</t>
  </si>
  <si>
    <t>High Stock</t>
  </si>
  <si>
    <t>MDRT611EVD28ID</t>
  </si>
  <si>
    <t>AQR-TSE605RBM(MX)</t>
  </si>
  <si>
    <t>Aging</t>
  </si>
  <si>
    <t>MDRS715FGF28ID</t>
  </si>
  <si>
    <t>Tanggal sell in | Tidak sesuai. Model di mapping &gt;&gt; SHARP: SJ-IS60MB-DS | POLYTRON: PRS 521Y | MIDEA: MDRS710FGF28ID</t>
  </si>
  <si>
    <t>PT. JOGJA DUTA CAHAYA LESTARI</t>
  </si>
  <si>
    <t>PT NUANSA DHARMA CIPTA</t>
  </si>
  <si>
    <t>SAMARINDA</t>
  </si>
  <si>
    <t>AQR-CTD506RGC (CB)</t>
  </si>
  <si>
    <t>AQR-TTD546RBG (BK)</t>
  </si>
  <si>
    <t>RQ662N4IWU</t>
  </si>
  <si>
    <t>AQR-CSE565RBC (CB)</t>
  </si>
  <si>
    <t>TCL</t>
  </si>
  <si>
    <t>P650SB</t>
  </si>
  <si>
    <t>Brand tidak ada di mapping (TCL)</t>
  </si>
  <si>
    <t>PT. Nuansa Dharma Cipta</t>
  </si>
  <si>
    <t>Banjarmasin</t>
  </si>
  <si>
    <t>AQR-CSE565RBC(CB)</t>
  </si>
  <si>
    <t>PT DAMAI SEJAHTERA ABADI</t>
  </si>
  <si>
    <t>16.971.570</t>
  </si>
  <si>
    <t>AGING</t>
  </si>
  <si>
    <t>16.998.000</t>
  </si>
  <si>
    <t>15.998.000</t>
  </si>
  <si>
    <t>GRRF900WI-PMF(06)</t>
  </si>
  <si>
    <t>14.998.000</t>
  </si>
  <si>
    <t>Tanggal sell in | Brand tidak ada di mapping (TOSHIBA)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</si>
</sst>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3">
    <font>
      <sz val="10.0"/>
      <color rgb="FF000000"/>
      <name val="Calibri"/>
      <scheme val="minor"/>
    </font>
    <font>
      <b/>
      <sz val="10.0"/>
      <color rgb="FF000000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FFF2CB"/>
        <bgColor rgb="FFFFF2C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right"/>
    </xf>
    <xf borderId="0" fillId="0" fontId="2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right"/>
    </xf>
    <xf borderId="1" fillId="3" fontId="2" numFmtId="0" xfId="0" applyBorder="1" applyFill="1" applyFont="1"/>
    <xf borderId="1" fillId="3" fontId="2" numFmtId="164" xfId="0" applyAlignment="1" applyBorder="1" applyFont="1" applyNumberFormat="1">
      <alignment shrinkToFit="0" vertical="top" wrapText="1"/>
    </xf>
    <xf borderId="1" fillId="0" fontId="2" numFmtId="164" xfId="0" applyBorder="1" applyFont="1" applyNumberFormat="1"/>
    <xf borderId="0" fillId="0" fontId="2" numFmtId="0" xfId="0" applyAlignment="1" applyFont="1">
      <alignment horizont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8.29"/>
    <col customWidth="1" min="3" max="3" width="12.14"/>
    <col customWidth="1" min="4" max="4" width="20.86"/>
    <col customWidth="1" min="5" max="5" width="5.43"/>
    <col customWidth="1" min="6" max="6" width="11.71"/>
    <col customWidth="1" min="7" max="7" width="12.14"/>
    <col customWidth="1" min="8" max="8" width="13.14"/>
    <col customWidth="1" min="9" max="10" width="16.29"/>
    <col customWidth="1" min="11" max="11" width="21.86"/>
    <col customWidth="1" min="12" max="12" width="8.14"/>
    <col customWidth="1" min="13" max="13" width="16.57"/>
    <col customWidth="1" min="14" max="14" width="18.14"/>
    <col customWidth="1" min="15" max="15" width="15.14"/>
    <col customWidth="1" min="16" max="16" width="62.0"/>
    <col customWidth="1" min="17" max="17" width="6.14"/>
    <col customWidth="1" min="18" max="18" width="16.43"/>
    <col customWidth="1" min="19" max="19" width="7.0"/>
    <col customWidth="1" min="20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/>
      <c r="U1" s="4"/>
      <c r="V1" s="4"/>
      <c r="W1" s="4"/>
      <c r="X1" s="4"/>
      <c r="Y1" s="4"/>
      <c r="Z1" s="4"/>
    </row>
    <row r="2" ht="12.75" customHeight="1">
      <c r="A2" s="5" t="s">
        <v>19</v>
      </c>
      <c r="B2" s="6" t="s">
        <v>20</v>
      </c>
      <c r="C2" s="5" t="s">
        <v>21</v>
      </c>
      <c r="D2" s="5" t="s">
        <v>22</v>
      </c>
      <c r="E2" s="5">
        <v>2.0</v>
      </c>
      <c r="F2" s="7" t="s">
        <v>23</v>
      </c>
      <c r="G2" s="5" t="s">
        <v>24</v>
      </c>
      <c r="H2" s="7" t="s">
        <v>25</v>
      </c>
      <c r="I2" s="7">
        <v>850000.0</v>
      </c>
      <c r="J2" s="7">
        <f t="shared" ref="J2:J31" si="1">I2*E2</f>
        <v>1700000</v>
      </c>
      <c r="K2" s="7">
        <f>H2-I2</f>
        <v>10178500</v>
      </c>
      <c r="L2" s="5"/>
      <c r="M2" s="8" t="s">
        <v>26</v>
      </c>
      <c r="N2" s="8" t="s">
        <v>27</v>
      </c>
      <c r="O2" s="7" t="s">
        <v>28</v>
      </c>
      <c r="P2" s="9" t="s">
        <v>29</v>
      </c>
      <c r="Q2" s="5"/>
      <c r="R2" s="5"/>
      <c r="S2" s="5"/>
      <c r="T2" s="4"/>
      <c r="U2" s="4"/>
      <c r="V2" s="4"/>
      <c r="W2" s="4"/>
      <c r="X2" s="4"/>
      <c r="Y2" s="4"/>
      <c r="Z2" s="4"/>
    </row>
    <row r="3" ht="12.75" customHeight="1">
      <c r="A3" s="5" t="s">
        <v>19</v>
      </c>
      <c r="B3" s="6" t="s">
        <v>20</v>
      </c>
      <c r="C3" s="5" t="s">
        <v>21</v>
      </c>
      <c r="D3" s="5" t="s">
        <v>30</v>
      </c>
      <c r="E3" s="5">
        <v>7.0</v>
      </c>
      <c r="F3" s="7" t="s">
        <v>31</v>
      </c>
      <c r="G3" s="5" t="s">
        <v>24</v>
      </c>
      <c r="H3" s="7" t="s">
        <v>32</v>
      </c>
      <c r="I3" s="7" t="s">
        <v>33</v>
      </c>
      <c r="J3" s="7">
        <f t="shared" si="1"/>
        <v>9100000</v>
      </c>
      <c r="K3" s="7" t="s">
        <v>34</v>
      </c>
      <c r="L3" s="5"/>
      <c r="M3" s="8" t="s">
        <v>26</v>
      </c>
      <c r="N3" s="8" t="s">
        <v>27</v>
      </c>
      <c r="O3" s="7" t="s">
        <v>28</v>
      </c>
      <c r="P3" s="9" t="s">
        <v>29</v>
      </c>
      <c r="Q3" s="5"/>
      <c r="R3" s="5"/>
      <c r="S3" s="5"/>
      <c r="T3" s="4"/>
      <c r="U3" s="4"/>
      <c r="V3" s="4"/>
      <c r="W3" s="4"/>
      <c r="X3" s="4"/>
      <c r="Y3" s="4"/>
      <c r="Z3" s="4"/>
    </row>
    <row r="4" ht="12.75" customHeight="1">
      <c r="A4" s="5" t="s">
        <v>19</v>
      </c>
      <c r="B4" s="6" t="s">
        <v>20</v>
      </c>
      <c r="C4" s="5" t="s">
        <v>21</v>
      </c>
      <c r="D4" s="5" t="s">
        <v>35</v>
      </c>
      <c r="E4" s="5">
        <v>9.0</v>
      </c>
      <c r="F4" s="7" t="s">
        <v>36</v>
      </c>
      <c r="G4" s="5" t="s">
        <v>24</v>
      </c>
      <c r="H4" s="7" t="s">
        <v>37</v>
      </c>
      <c r="I4" s="7" t="s">
        <v>38</v>
      </c>
      <c r="J4" s="7">
        <f t="shared" si="1"/>
        <v>9000000</v>
      </c>
      <c r="K4" s="7" t="s">
        <v>39</v>
      </c>
      <c r="L4" s="5"/>
      <c r="M4" s="8" t="s">
        <v>40</v>
      </c>
      <c r="N4" s="8" t="s">
        <v>41</v>
      </c>
      <c r="O4" s="7" t="s">
        <v>42</v>
      </c>
      <c r="P4" s="9" t="s">
        <v>43</v>
      </c>
      <c r="Q4" s="5"/>
      <c r="R4" s="5"/>
      <c r="S4" s="5"/>
      <c r="T4" s="4"/>
      <c r="U4" s="4"/>
      <c r="V4" s="4"/>
      <c r="W4" s="4"/>
      <c r="X4" s="4"/>
      <c r="Y4" s="4"/>
      <c r="Z4" s="4"/>
    </row>
    <row r="5" ht="12.75" customHeight="1">
      <c r="A5" s="5" t="s">
        <v>19</v>
      </c>
      <c r="B5" s="6" t="s">
        <v>20</v>
      </c>
      <c r="C5" s="5" t="s">
        <v>21</v>
      </c>
      <c r="D5" s="5" t="s">
        <v>44</v>
      </c>
      <c r="E5" s="5">
        <v>5.0</v>
      </c>
      <c r="F5" s="7" t="s">
        <v>45</v>
      </c>
      <c r="G5" s="5" t="s">
        <v>24</v>
      </c>
      <c r="H5" s="7" t="s">
        <v>46</v>
      </c>
      <c r="I5" s="7">
        <v>775000.0</v>
      </c>
      <c r="J5" s="7">
        <f t="shared" si="1"/>
        <v>3875000</v>
      </c>
      <c r="K5" s="7" t="s">
        <v>47</v>
      </c>
      <c r="L5" s="5"/>
      <c r="M5" s="8" t="s">
        <v>40</v>
      </c>
      <c r="N5" s="8" t="s">
        <v>48</v>
      </c>
      <c r="O5" s="7" t="s">
        <v>47</v>
      </c>
      <c r="P5" s="9" t="s">
        <v>43</v>
      </c>
      <c r="Q5" s="5"/>
      <c r="R5" s="5"/>
      <c r="S5" s="5"/>
      <c r="T5" s="4"/>
      <c r="U5" s="4"/>
      <c r="V5" s="4"/>
      <c r="W5" s="4"/>
      <c r="X5" s="4"/>
      <c r="Y5" s="4"/>
      <c r="Z5" s="4"/>
    </row>
    <row r="6" ht="12.75" customHeight="1">
      <c r="A6" s="5" t="s">
        <v>49</v>
      </c>
      <c r="B6" s="6" t="s">
        <v>20</v>
      </c>
      <c r="C6" s="5" t="s">
        <v>21</v>
      </c>
      <c r="D6" s="5" t="s">
        <v>50</v>
      </c>
      <c r="E6" s="5">
        <v>10.0</v>
      </c>
      <c r="F6" s="7" t="s">
        <v>51</v>
      </c>
      <c r="G6" s="5" t="s">
        <v>24</v>
      </c>
      <c r="H6" s="7" t="s">
        <v>52</v>
      </c>
      <c r="I6" s="7">
        <v>400000.0</v>
      </c>
      <c r="J6" s="7">
        <f t="shared" si="1"/>
        <v>4000000</v>
      </c>
      <c r="K6" s="7" t="s">
        <v>53</v>
      </c>
      <c r="L6" s="5"/>
      <c r="M6" s="8" t="s">
        <v>54</v>
      </c>
      <c r="N6" s="8" t="s">
        <v>55</v>
      </c>
      <c r="O6" s="7" t="s">
        <v>56</v>
      </c>
      <c r="P6" s="9" t="s">
        <v>57</v>
      </c>
      <c r="Q6" s="5"/>
      <c r="R6" s="5"/>
      <c r="S6" s="5"/>
      <c r="T6" s="4"/>
      <c r="U6" s="4"/>
      <c r="V6" s="4"/>
      <c r="W6" s="4"/>
      <c r="X6" s="4"/>
      <c r="Y6" s="4"/>
      <c r="Z6" s="4"/>
    </row>
    <row r="7" ht="12.75" customHeight="1">
      <c r="A7" s="5" t="s">
        <v>58</v>
      </c>
      <c r="B7" s="6" t="s">
        <v>20</v>
      </c>
      <c r="C7" s="5" t="s">
        <v>59</v>
      </c>
      <c r="D7" s="5" t="s">
        <v>60</v>
      </c>
      <c r="E7" s="5">
        <v>1.0</v>
      </c>
      <c r="F7" s="7">
        <v>1.6115407E7</v>
      </c>
      <c r="G7" s="5" t="s">
        <v>24</v>
      </c>
      <c r="H7" s="7">
        <v>1.8898E7</v>
      </c>
      <c r="I7" s="7">
        <v>2000000.0</v>
      </c>
      <c r="J7" s="7">
        <f t="shared" si="1"/>
        <v>2000000</v>
      </c>
      <c r="K7" s="10">
        <v>1.6898E7</v>
      </c>
      <c r="L7" s="5"/>
      <c r="M7" s="8" t="s">
        <v>61</v>
      </c>
      <c r="N7" s="8" t="s">
        <v>62</v>
      </c>
      <c r="O7" s="7" t="s">
        <v>63</v>
      </c>
      <c r="P7" s="9" t="s">
        <v>64</v>
      </c>
      <c r="Q7" s="5"/>
      <c r="R7" s="5"/>
      <c r="S7" s="5"/>
      <c r="T7" s="4"/>
      <c r="U7" s="4"/>
      <c r="V7" s="4"/>
      <c r="W7" s="4"/>
      <c r="X7" s="4"/>
      <c r="Y7" s="4"/>
      <c r="Z7" s="4"/>
    </row>
    <row r="8" ht="12.75" customHeight="1">
      <c r="A8" s="5" t="s">
        <v>58</v>
      </c>
      <c r="B8" s="6" t="s">
        <v>20</v>
      </c>
      <c r="C8" s="5" t="s">
        <v>59</v>
      </c>
      <c r="D8" s="5" t="s">
        <v>65</v>
      </c>
      <c r="E8" s="5">
        <v>1.0</v>
      </c>
      <c r="F8" s="7">
        <v>1.5623488E7</v>
      </c>
      <c r="G8" s="5" t="s">
        <v>66</v>
      </c>
      <c r="H8" s="7">
        <v>1.1448E7</v>
      </c>
      <c r="I8" s="7">
        <v>200000.0</v>
      </c>
      <c r="J8" s="7">
        <f t="shared" si="1"/>
        <v>200000</v>
      </c>
      <c r="K8" s="10">
        <v>1.1248E7</v>
      </c>
      <c r="L8" s="5"/>
      <c r="M8" s="8" t="s">
        <v>67</v>
      </c>
      <c r="N8" s="8" t="s">
        <v>68</v>
      </c>
      <c r="O8" s="7" t="s">
        <v>69</v>
      </c>
      <c r="P8" s="9" t="s">
        <v>29</v>
      </c>
      <c r="Q8" s="5"/>
      <c r="R8" s="5"/>
      <c r="S8" s="5"/>
      <c r="T8" s="4"/>
      <c r="U8" s="4"/>
      <c r="V8" s="4"/>
      <c r="W8" s="4"/>
      <c r="X8" s="4"/>
      <c r="Y8" s="4"/>
      <c r="Z8" s="4"/>
    </row>
    <row r="9" ht="12.75" customHeight="1">
      <c r="A9" s="5" t="s">
        <v>70</v>
      </c>
      <c r="B9" s="6" t="s">
        <v>20</v>
      </c>
      <c r="C9" s="5" t="s">
        <v>71</v>
      </c>
      <c r="D9" s="5" t="s">
        <v>72</v>
      </c>
      <c r="E9" s="5">
        <v>53.0</v>
      </c>
      <c r="F9" s="7">
        <v>3430770.0</v>
      </c>
      <c r="G9" s="5" t="s">
        <v>24</v>
      </c>
      <c r="H9" s="7">
        <v>3639000.0</v>
      </c>
      <c r="I9" s="7">
        <v>50000.0</v>
      </c>
      <c r="J9" s="7">
        <f t="shared" si="1"/>
        <v>2650000</v>
      </c>
      <c r="K9" s="10">
        <v>3589000.0</v>
      </c>
      <c r="L9" s="5"/>
      <c r="M9" s="8" t="s">
        <v>54</v>
      </c>
      <c r="N9" s="8" t="s">
        <v>73</v>
      </c>
      <c r="O9" s="7">
        <v>3609000.0</v>
      </c>
      <c r="P9" s="9" t="s">
        <v>74</v>
      </c>
      <c r="Q9" s="5"/>
      <c r="R9" s="5"/>
      <c r="S9" s="5"/>
      <c r="T9" s="4"/>
      <c r="U9" s="4"/>
      <c r="V9" s="4"/>
      <c r="W9" s="4"/>
      <c r="X9" s="4"/>
      <c r="Y9" s="4"/>
      <c r="Z9" s="4"/>
    </row>
    <row r="10" ht="12.75" customHeight="1">
      <c r="A10" s="5" t="s">
        <v>70</v>
      </c>
      <c r="B10" s="6" t="s">
        <v>20</v>
      </c>
      <c r="C10" s="5" t="s">
        <v>71</v>
      </c>
      <c r="D10" s="5" t="s">
        <v>75</v>
      </c>
      <c r="E10" s="5">
        <v>74.0</v>
      </c>
      <c r="F10" s="7">
        <v>3691170.0</v>
      </c>
      <c r="G10" s="5" t="s">
        <v>24</v>
      </c>
      <c r="H10" s="7">
        <v>3909000.0</v>
      </c>
      <c r="I10" s="7">
        <v>100000.0</v>
      </c>
      <c r="J10" s="7">
        <f t="shared" si="1"/>
        <v>7400000</v>
      </c>
      <c r="K10" s="10">
        <v>3809000.0</v>
      </c>
      <c r="L10" s="5"/>
      <c r="M10" s="8" t="s">
        <v>26</v>
      </c>
      <c r="N10" s="8" t="s">
        <v>76</v>
      </c>
      <c r="O10" s="7">
        <v>3809000.0</v>
      </c>
      <c r="P10" s="9" t="s">
        <v>77</v>
      </c>
      <c r="Q10" s="5"/>
      <c r="R10" s="5"/>
      <c r="S10" s="5"/>
      <c r="T10" s="4"/>
      <c r="U10" s="4"/>
      <c r="V10" s="4"/>
      <c r="W10" s="4"/>
      <c r="X10" s="4"/>
      <c r="Y10" s="4"/>
      <c r="Z10" s="4"/>
    </row>
    <row r="11" ht="12.75" customHeight="1">
      <c r="A11" s="5" t="s">
        <v>70</v>
      </c>
      <c r="B11" s="6" t="s">
        <v>20</v>
      </c>
      <c r="C11" s="5" t="s">
        <v>71</v>
      </c>
      <c r="D11" s="5" t="s">
        <v>78</v>
      </c>
      <c r="E11" s="5">
        <v>42.0</v>
      </c>
      <c r="F11" s="7">
        <v>4211970.0</v>
      </c>
      <c r="G11" s="5" t="s">
        <v>24</v>
      </c>
      <c r="H11" s="7">
        <v>4419000.0</v>
      </c>
      <c r="I11" s="7">
        <v>300000.0</v>
      </c>
      <c r="J11" s="7">
        <f t="shared" si="1"/>
        <v>12600000</v>
      </c>
      <c r="K11" s="10">
        <v>4119000.0</v>
      </c>
      <c r="L11" s="5"/>
      <c r="M11" s="8" t="s">
        <v>54</v>
      </c>
      <c r="N11" s="8" t="s">
        <v>79</v>
      </c>
      <c r="O11" s="7">
        <v>4049000.0</v>
      </c>
      <c r="P11" s="9" t="s">
        <v>74</v>
      </c>
      <c r="Q11" s="5"/>
      <c r="R11" s="5"/>
      <c r="S11" s="5"/>
      <c r="T11" s="4"/>
      <c r="U11" s="4"/>
      <c r="V11" s="4"/>
      <c r="W11" s="4"/>
      <c r="X11" s="4"/>
      <c r="Y11" s="4"/>
      <c r="Z11" s="4"/>
    </row>
    <row r="12" ht="12.75" customHeight="1">
      <c r="A12" s="5" t="s">
        <v>70</v>
      </c>
      <c r="B12" s="6" t="s">
        <v>20</v>
      </c>
      <c r="C12" s="5" t="s">
        <v>71</v>
      </c>
      <c r="D12" s="5" t="s">
        <v>80</v>
      </c>
      <c r="E12" s="5">
        <v>47.0</v>
      </c>
      <c r="F12" s="7">
        <v>2877550.0</v>
      </c>
      <c r="G12" s="5" t="s">
        <v>24</v>
      </c>
      <c r="H12" s="7">
        <v>3049000.0</v>
      </c>
      <c r="I12" s="7">
        <v>80000.0</v>
      </c>
      <c r="J12" s="7">
        <f t="shared" si="1"/>
        <v>3760000</v>
      </c>
      <c r="K12" s="10">
        <v>2969000.0</v>
      </c>
      <c r="L12" s="5"/>
      <c r="M12" s="8" t="s">
        <v>54</v>
      </c>
      <c r="N12" s="8" t="s">
        <v>81</v>
      </c>
      <c r="O12" s="7">
        <v>2969000.0</v>
      </c>
      <c r="P12" s="9" t="s">
        <v>82</v>
      </c>
      <c r="Q12" s="5"/>
      <c r="R12" s="5"/>
      <c r="S12" s="5"/>
      <c r="T12" s="4"/>
      <c r="U12" s="4"/>
      <c r="V12" s="4"/>
      <c r="W12" s="4"/>
      <c r="X12" s="4"/>
      <c r="Y12" s="4"/>
      <c r="Z12" s="4"/>
    </row>
    <row r="13" ht="12.75" customHeight="1">
      <c r="A13" s="5" t="s">
        <v>70</v>
      </c>
      <c r="B13" s="6" t="s">
        <v>20</v>
      </c>
      <c r="C13" s="5" t="s">
        <v>71</v>
      </c>
      <c r="D13" s="5" t="s">
        <v>83</v>
      </c>
      <c r="E13" s="5">
        <v>1.0</v>
      </c>
      <c r="F13" s="7">
        <v>8743840.0</v>
      </c>
      <c r="G13" s="5" t="s">
        <v>66</v>
      </c>
      <c r="H13" s="7">
        <v>8969000.0</v>
      </c>
      <c r="I13" s="7">
        <v>300000.0</v>
      </c>
      <c r="J13" s="7">
        <f t="shared" si="1"/>
        <v>300000</v>
      </c>
      <c r="K13" s="10">
        <v>8669000.0</v>
      </c>
      <c r="L13" s="5"/>
      <c r="M13" s="8" t="s">
        <v>54</v>
      </c>
      <c r="N13" s="8" t="s">
        <v>84</v>
      </c>
      <c r="O13" s="7">
        <v>9049000.0</v>
      </c>
      <c r="P13" s="9" t="s">
        <v>82</v>
      </c>
      <c r="Q13" s="5"/>
      <c r="R13" s="5"/>
      <c r="S13" s="5"/>
      <c r="T13" s="4"/>
      <c r="U13" s="4"/>
      <c r="V13" s="4"/>
      <c r="W13" s="4"/>
      <c r="X13" s="4"/>
      <c r="Y13" s="4"/>
      <c r="Z13" s="4"/>
    </row>
    <row r="14" ht="12.75" customHeight="1">
      <c r="A14" s="5" t="s">
        <v>70</v>
      </c>
      <c r="B14" s="6" t="s">
        <v>20</v>
      </c>
      <c r="C14" s="5" t="s">
        <v>71</v>
      </c>
      <c r="D14" s="5" t="s">
        <v>85</v>
      </c>
      <c r="E14" s="5">
        <v>4.0</v>
      </c>
      <c r="F14" s="7">
        <v>1.697157E7</v>
      </c>
      <c r="G14" s="5" t="s">
        <v>66</v>
      </c>
      <c r="H14" s="7">
        <v>1.8479E7</v>
      </c>
      <c r="I14" s="7">
        <v>3000000.0</v>
      </c>
      <c r="J14" s="7">
        <f t="shared" si="1"/>
        <v>12000000</v>
      </c>
      <c r="K14" s="10">
        <v>1.5479E7</v>
      </c>
      <c r="L14" s="5"/>
      <c r="M14" s="8" t="s">
        <v>54</v>
      </c>
      <c r="N14" s="8" t="s">
        <v>86</v>
      </c>
      <c r="O14" s="7">
        <v>1.7499E7</v>
      </c>
      <c r="P14" s="9" t="s">
        <v>87</v>
      </c>
      <c r="Q14" s="5"/>
      <c r="R14" s="5"/>
      <c r="S14" s="5"/>
      <c r="T14" s="4"/>
      <c r="U14" s="4"/>
      <c r="V14" s="4"/>
      <c r="W14" s="4"/>
      <c r="X14" s="4"/>
      <c r="Y14" s="4"/>
      <c r="Z14" s="4"/>
    </row>
    <row r="15" ht="12.75" customHeight="1">
      <c r="A15" s="5" t="s">
        <v>70</v>
      </c>
      <c r="B15" s="6" t="s">
        <v>20</v>
      </c>
      <c r="C15" s="5" t="s">
        <v>71</v>
      </c>
      <c r="D15" s="5" t="s">
        <v>50</v>
      </c>
      <c r="E15" s="5">
        <v>14.0</v>
      </c>
      <c r="F15" s="7">
        <v>9271170.0</v>
      </c>
      <c r="G15" s="5" t="s">
        <v>24</v>
      </c>
      <c r="H15" s="7">
        <v>9809000.0</v>
      </c>
      <c r="I15" s="7">
        <v>500000.0</v>
      </c>
      <c r="J15" s="7">
        <f t="shared" si="1"/>
        <v>7000000</v>
      </c>
      <c r="K15" s="10">
        <v>9309000.0</v>
      </c>
      <c r="L15" s="5"/>
      <c r="M15" s="8" t="s">
        <v>88</v>
      </c>
      <c r="N15" s="8" t="s">
        <v>89</v>
      </c>
      <c r="O15" s="7">
        <v>7519000.0</v>
      </c>
      <c r="P15" s="9" t="s">
        <v>57</v>
      </c>
      <c r="Q15" s="5"/>
      <c r="R15" s="5"/>
      <c r="S15" s="5"/>
      <c r="T15" s="4"/>
      <c r="U15" s="4"/>
      <c r="V15" s="4"/>
      <c r="W15" s="4"/>
      <c r="X15" s="4"/>
      <c r="Y15" s="4"/>
      <c r="Z15" s="4"/>
    </row>
    <row r="16" ht="12.75" customHeight="1">
      <c r="A16" s="5" t="s">
        <v>70</v>
      </c>
      <c r="B16" s="6" t="s">
        <v>20</v>
      </c>
      <c r="C16" s="5" t="s">
        <v>71</v>
      </c>
      <c r="D16" s="5" t="s">
        <v>90</v>
      </c>
      <c r="E16" s="5">
        <v>18.0</v>
      </c>
      <c r="F16" s="7">
        <v>6825270.0</v>
      </c>
      <c r="G16" s="5" t="s">
        <v>24</v>
      </c>
      <c r="H16" s="7">
        <v>7289000.0</v>
      </c>
      <c r="I16" s="7">
        <v>250000.0</v>
      </c>
      <c r="J16" s="7">
        <f t="shared" si="1"/>
        <v>4500000</v>
      </c>
      <c r="K16" s="10">
        <v>7039000.0</v>
      </c>
      <c r="L16" s="5"/>
      <c r="M16" s="8" t="s">
        <v>26</v>
      </c>
      <c r="N16" s="8" t="s">
        <v>91</v>
      </c>
      <c r="O16" s="7">
        <v>7119000.0</v>
      </c>
      <c r="P16" s="9" t="s">
        <v>92</v>
      </c>
      <c r="Q16" s="5"/>
      <c r="R16" s="5"/>
      <c r="S16" s="5"/>
      <c r="T16" s="4"/>
      <c r="U16" s="4"/>
      <c r="V16" s="4"/>
      <c r="W16" s="4"/>
      <c r="X16" s="4"/>
      <c r="Y16" s="4"/>
      <c r="Z16" s="4"/>
    </row>
    <row r="17" ht="12.75" customHeight="1">
      <c r="A17" s="5" t="s">
        <v>93</v>
      </c>
      <c r="B17" s="6" t="s">
        <v>20</v>
      </c>
      <c r="C17" s="5" t="s">
        <v>94</v>
      </c>
      <c r="D17" s="5" t="s">
        <v>44</v>
      </c>
      <c r="E17" s="5">
        <v>6.0</v>
      </c>
      <c r="F17" s="7">
        <v>8117970.0</v>
      </c>
      <c r="G17" s="5" t="s">
        <v>24</v>
      </c>
      <c r="H17" s="7">
        <v>8525000.0</v>
      </c>
      <c r="I17" s="7">
        <v>225000.0</v>
      </c>
      <c r="J17" s="7">
        <f t="shared" si="1"/>
        <v>1350000</v>
      </c>
      <c r="K17" s="10">
        <v>8300000.0</v>
      </c>
      <c r="L17" s="5"/>
      <c r="M17" s="8" t="s">
        <v>95</v>
      </c>
      <c r="N17" s="8" t="s">
        <v>96</v>
      </c>
      <c r="O17" s="7">
        <v>8300000.0</v>
      </c>
      <c r="P17" s="9" t="s">
        <v>74</v>
      </c>
      <c r="Q17" s="5"/>
      <c r="R17" s="5"/>
      <c r="S17" s="5"/>
      <c r="T17" s="4"/>
      <c r="U17" s="4"/>
      <c r="V17" s="4"/>
      <c r="W17" s="4"/>
      <c r="X17" s="4"/>
      <c r="Y17" s="4"/>
      <c r="Z17" s="4"/>
    </row>
    <row r="18" ht="12.75" customHeight="1">
      <c r="A18" s="5" t="s">
        <v>93</v>
      </c>
      <c r="B18" s="6" t="s">
        <v>20</v>
      </c>
      <c r="C18" s="5" t="s">
        <v>94</v>
      </c>
      <c r="D18" s="5" t="s">
        <v>50</v>
      </c>
      <c r="E18" s="5">
        <v>8.0</v>
      </c>
      <c r="F18" s="7">
        <v>9457170.0</v>
      </c>
      <c r="G18" s="5" t="s">
        <v>24</v>
      </c>
      <c r="H18" s="7">
        <v>9950000.0</v>
      </c>
      <c r="I18" s="7">
        <v>1000000.0</v>
      </c>
      <c r="J18" s="7">
        <f t="shared" si="1"/>
        <v>8000000</v>
      </c>
      <c r="K18" s="10">
        <v>8950000.0</v>
      </c>
      <c r="L18" s="5"/>
      <c r="M18" s="8" t="s">
        <v>95</v>
      </c>
      <c r="N18" s="8" t="s">
        <v>97</v>
      </c>
      <c r="O18" s="7">
        <v>8000000.0</v>
      </c>
      <c r="P18" s="9" t="s">
        <v>57</v>
      </c>
      <c r="Q18" s="5"/>
      <c r="R18" s="5"/>
      <c r="S18" s="5"/>
      <c r="T18" s="4"/>
      <c r="U18" s="4"/>
      <c r="V18" s="4"/>
      <c r="W18" s="4"/>
      <c r="X18" s="4"/>
      <c r="Y18" s="4"/>
      <c r="Z18" s="4"/>
    </row>
    <row r="19" ht="12.75" customHeight="1">
      <c r="A19" s="5" t="s">
        <v>93</v>
      </c>
      <c r="B19" s="6" t="s">
        <v>20</v>
      </c>
      <c r="C19" s="5" t="s">
        <v>94</v>
      </c>
      <c r="D19" s="5" t="s">
        <v>98</v>
      </c>
      <c r="E19" s="5">
        <v>4.0</v>
      </c>
      <c r="F19" s="7">
        <v>5616270.0</v>
      </c>
      <c r="G19" s="5" t="s">
        <v>24</v>
      </c>
      <c r="H19" s="7">
        <v>5900000.0</v>
      </c>
      <c r="I19" s="7">
        <v>500000.0</v>
      </c>
      <c r="J19" s="7">
        <f t="shared" si="1"/>
        <v>2000000</v>
      </c>
      <c r="K19" s="10">
        <v>5400000.0</v>
      </c>
      <c r="L19" s="5"/>
      <c r="M19" s="8" t="s">
        <v>95</v>
      </c>
      <c r="N19" s="8" t="s">
        <v>99</v>
      </c>
      <c r="O19" s="7">
        <v>4700000.0</v>
      </c>
      <c r="P19" s="9" t="s">
        <v>100</v>
      </c>
      <c r="Q19" s="5"/>
      <c r="R19" s="5"/>
      <c r="S19" s="5"/>
      <c r="T19" s="4"/>
      <c r="U19" s="4"/>
      <c r="V19" s="4"/>
      <c r="W19" s="4"/>
      <c r="X19" s="4"/>
      <c r="Y19" s="4"/>
      <c r="Z19" s="4"/>
    </row>
    <row r="20" ht="12.75" customHeight="1">
      <c r="A20" s="5" t="s">
        <v>93</v>
      </c>
      <c r="B20" s="6" t="s">
        <v>20</v>
      </c>
      <c r="C20" s="5" t="s">
        <v>94</v>
      </c>
      <c r="D20" s="5" t="s">
        <v>101</v>
      </c>
      <c r="E20" s="5">
        <v>13.0</v>
      </c>
      <c r="F20" s="7">
        <v>7029870.0</v>
      </c>
      <c r="G20" s="5" t="s">
        <v>102</v>
      </c>
      <c r="H20" s="7">
        <v>7400000.0</v>
      </c>
      <c r="I20" s="7">
        <v>500000.0</v>
      </c>
      <c r="J20" s="7">
        <f t="shared" si="1"/>
        <v>6500000</v>
      </c>
      <c r="K20" s="10">
        <v>6900000.0</v>
      </c>
      <c r="L20" s="5"/>
      <c r="M20" s="8" t="s">
        <v>95</v>
      </c>
      <c r="N20" s="8" t="s">
        <v>103</v>
      </c>
      <c r="O20" s="7">
        <v>6150000.0</v>
      </c>
      <c r="P20" s="9" t="s">
        <v>74</v>
      </c>
      <c r="Q20" s="5"/>
      <c r="R20" s="5"/>
      <c r="S20" s="5"/>
      <c r="T20" s="4"/>
      <c r="U20" s="4"/>
      <c r="V20" s="4"/>
      <c r="W20" s="4"/>
      <c r="X20" s="4"/>
      <c r="Y20" s="4"/>
      <c r="Z20" s="4"/>
    </row>
    <row r="21" ht="12.75" customHeight="1">
      <c r="A21" s="5" t="s">
        <v>93</v>
      </c>
      <c r="B21" s="6" t="s">
        <v>20</v>
      </c>
      <c r="C21" s="5" t="s">
        <v>94</v>
      </c>
      <c r="D21" s="5" t="s">
        <v>104</v>
      </c>
      <c r="E21" s="5">
        <v>12.0</v>
      </c>
      <c r="F21" s="7">
        <v>8276070.0</v>
      </c>
      <c r="G21" s="5" t="s">
        <v>105</v>
      </c>
      <c r="H21" s="7">
        <v>8700000.0</v>
      </c>
      <c r="I21" s="7">
        <v>500000.0</v>
      </c>
      <c r="J21" s="7">
        <f t="shared" si="1"/>
        <v>6000000</v>
      </c>
      <c r="K21" s="10">
        <v>8200000.0</v>
      </c>
      <c r="L21" s="5"/>
      <c r="M21" s="8" t="s">
        <v>95</v>
      </c>
      <c r="N21" s="8" t="s">
        <v>106</v>
      </c>
      <c r="O21" s="7">
        <v>7725000.0</v>
      </c>
      <c r="P21" s="9" t="s">
        <v>107</v>
      </c>
      <c r="Q21" s="5"/>
      <c r="R21" s="5"/>
      <c r="S21" s="5"/>
      <c r="T21" s="4"/>
      <c r="U21" s="4"/>
      <c r="V21" s="4"/>
      <c r="W21" s="4"/>
      <c r="X21" s="4"/>
      <c r="Y21" s="4"/>
      <c r="Z21" s="4"/>
    </row>
    <row r="22" ht="12.75" customHeight="1">
      <c r="A22" s="5" t="s">
        <v>108</v>
      </c>
      <c r="B22" s="6" t="s">
        <v>20</v>
      </c>
      <c r="C22" s="5" t="s">
        <v>71</v>
      </c>
      <c r="D22" s="5" t="s">
        <v>104</v>
      </c>
      <c r="E22" s="5">
        <v>12.0</v>
      </c>
      <c r="F22" s="7">
        <v>8276070.0</v>
      </c>
      <c r="G22" s="5" t="s">
        <v>105</v>
      </c>
      <c r="H22" s="7">
        <v>8700000.0</v>
      </c>
      <c r="I22" s="7">
        <v>500000.0</v>
      </c>
      <c r="J22" s="7">
        <f t="shared" si="1"/>
        <v>6000000</v>
      </c>
      <c r="K22" s="10">
        <v>8200000.0</v>
      </c>
      <c r="L22" s="5"/>
      <c r="M22" s="8" t="s">
        <v>95</v>
      </c>
      <c r="N22" s="8" t="s">
        <v>106</v>
      </c>
      <c r="O22" s="7">
        <v>7725000.0</v>
      </c>
      <c r="P22" s="9" t="s">
        <v>107</v>
      </c>
      <c r="Q22" s="5"/>
      <c r="R22" s="5"/>
      <c r="S22" s="5"/>
      <c r="T22" s="4"/>
      <c r="U22" s="4"/>
      <c r="V22" s="4"/>
      <c r="W22" s="4"/>
      <c r="X22" s="4"/>
      <c r="Y22" s="4"/>
      <c r="Z22" s="4"/>
    </row>
    <row r="23" ht="12.75" customHeight="1">
      <c r="A23" s="5" t="s">
        <v>108</v>
      </c>
      <c r="B23" s="6" t="s">
        <v>20</v>
      </c>
      <c r="C23" s="5" t="s">
        <v>71</v>
      </c>
      <c r="D23" s="5" t="s">
        <v>101</v>
      </c>
      <c r="E23" s="5">
        <v>13.0</v>
      </c>
      <c r="F23" s="7">
        <v>7029870.0</v>
      </c>
      <c r="G23" s="5"/>
      <c r="H23" s="7">
        <v>7450000.0</v>
      </c>
      <c r="I23" s="7">
        <v>500000.0</v>
      </c>
      <c r="J23" s="7">
        <f t="shared" si="1"/>
        <v>6500000</v>
      </c>
      <c r="K23" s="10">
        <v>6950000.0</v>
      </c>
      <c r="L23" s="5"/>
      <c r="M23" s="8" t="s">
        <v>95</v>
      </c>
      <c r="N23" s="8" t="s">
        <v>103</v>
      </c>
      <c r="O23" s="7">
        <v>6200000.0</v>
      </c>
      <c r="P23" s="9" t="s">
        <v>74</v>
      </c>
      <c r="Q23" s="5"/>
      <c r="R23" s="5"/>
      <c r="S23" s="5"/>
      <c r="T23" s="4"/>
      <c r="U23" s="4"/>
      <c r="V23" s="4"/>
      <c r="W23" s="4"/>
      <c r="X23" s="4"/>
      <c r="Y23" s="4"/>
      <c r="Z23" s="4"/>
    </row>
    <row r="24" ht="12.75" customHeight="1">
      <c r="A24" s="5" t="s">
        <v>108</v>
      </c>
      <c r="B24" s="6" t="s">
        <v>20</v>
      </c>
      <c r="C24" s="5" t="s">
        <v>71</v>
      </c>
      <c r="D24" s="5" t="s">
        <v>44</v>
      </c>
      <c r="E24" s="5">
        <v>6.0</v>
      </c>
      <c r="F24" s="7">
        <v>8117970.0</v>
      </c>
      <c r="G24" s="5" t="s">
        <v>24</v>
      </c>
      <c r="H24" s="7">
        <v>8525000.0</v>
      </c>
      <c r="I24" s="7">
        <v>225000.0</v>
      </c>
      <c r="J24" s="7">
        <f t="shared" si="1"/>
        <v>1350000</v>
      </c>
      <c r="K24" s="10">
        <v>8300000.0</v>
      </c>
      <c r="L24" s="5"/>
      <c r="M24" s="8" t="s">
        <v>95</v>
      </c>
      <c r="N24" s="8" t="s">
        <v>96</v>
      </c>
      <c r="O24" s="7">
        <v>8300000.0</v>
      </c>
      <c r="P24" s="9" t="s">
        <v>74</v>
      </c>
      <c r="Q24" s="5"/>
      <c r="R24" s="5"/>
      <c r="S24" s="5"/>
      <c r="T24" s="4"/>
      <c r="U24" s="4"/>
      <c r="V24" s="4"/>
      <c r="W24" s="4"/>
      <c r="X24" s="4"/>
      <c r="Y24" s="4"/>
      <c r="Z24" s="4"/>
    </row>
    <row r="25" ht="12.75" customHeight="1">
      <c r="A25" s="5" t="s">
        <v>108</v>
      </c>
      <c r="B25" s="6" t="s">
        <v>20</v>
      </c>
      <c r="C25" s="5" t="s">
        <v>71</v>
      </c>
      <c r="D25" s="5" t="s">
        <v>50</v>
      </c>
      <c r="E25" s="5">
        <v>8.0</v>
      </c>
      <c r="F25" s="7">
        <v>9457170.0</v>
      </c>
      <c r="G25" s="5" t="s">
        <v>24</v>
      </c>
      <c r="H25" s="7">
        <v>9950000.0</v>
      </c>
      <c r="I25" s="7">
        <v>1000000.0</v>
      </c>
      <c r="J25" s="7">
        <f t="shared" si="1"/>
        <v>8000000</v>
      </c>
      <c r="K25" s="10">
        <v>8950000.0</v>
      </c>
      <c r="L25" s="5"/>
      <c r="M25" s="8" t="s">
        <v>95</v>
      </c>
      <c r="N25" s="8" t="s">
        <v>97</v>
      </c>
      <c r="O25" s="7">
        <v>8000000.0</v>
      </c>
      <c r="P25" s="9" t="s">
        <v>57</v>
      </c>
      <c r="Q25" s="5"/>
      <c r="R25" s="5"/>
      <c r="S25" s="5"/>
      <c r="T25" s="4"/>
      <c r="U25" s="4"/>
      <c r="V25" s="4"/>
      <c r="W25" s="4"/>
      <c r="X25" s="4"/>
      <c r="Y25" s="4"/>
      <c r="Z25" s="4"/>
    </row>
    <row r="26" ht="12.75" customHeight="1">
      <c r="A26" s="5" t="s">
        <v>109</v>
      </c>
      <c r="B26" s="6" t="s">
        <v>20</v>
      </c>
      <c r="C26" s="5" t="s">
        <v>110</v>
      </c>
      <c r="D26" s="5" t="s">
        <v>111</v>
      </c>
      <c r="E26" s="5">
        <v>6.0</v>
      </c>
      <c r="F26" s="7">
        <v>8117970.0</v>
      </c>
      <c r="G26" s="5" t="s">
        <v>24</v>
      </c>
      <c r="H26" s="7">
        <v>8349000.0</v>
      </c>
      <c r="I26" s="7">
        <v>400000.0</v>
      </c>
      <c r="J26" s="7">
        <f t="shared" si="1"/>
        <v>2400000</v>
      </c>
      <c r="K26" s="10">
        <v>7949000.0</v>
      </c>
      <c r="L26" s="5"/>
      <c r="M26" s="8" t="s">
        <v>40</v>
      </c>
      <c r="N26" s="8" t="s">
        <v>41</v>
      </c>
      <c r="O26" s="7">
        <v>7359000.0</v>
      </c>
      <c r="P26" s="9" t="s">
        <v>43</v>
      </c>
      <c r="Q26" s="5"/>
      <c r="R26" s="5"/>
      <c r="S26" s="5"/>
      <c r="T26" s="4"/>
      <c r="U26" s="4"/>
      <c r="V26" s="4"/>
      <c r="W26" s="4"/>
      <c r="X26" s="4"/>
      <c r="Y26" s="4"/>
      <c r="Z26" s="4"/>
    </row>
    <row r="27" ht="12.75" customHeight="1">
      <c r="A27" s="5" t="s">
        <v>109</v>
      </c>
      <c r="B27" s="6" t="s">
        <v>20</v>
      </c>
      <c r="C27" s="5" t="s">
        <v>110</v>
      </c>
      <c r="D27" s="5" t="s">
        <v>112</v>
      </c>
      <c r="E27" s="5">
        <v>6.0</v>
      </c>
      <c r="F27" s="7">
        <v>1.031277E7</v>
      </c>
      <c r="G27" s="5" t="s">
        <v>24</v>
      </c>
      <c r="H27" s="7">
        <v>1.0559E7</v>
      </c>
      <c r="I27" s="7">
        <v>400000.0</v>
      </c>
      <c r="J27" s="7">
        <f t="shared" si="1"/>
        <v>2400000</v>
      </c>
      <c r="K27" s="10">
        <v>1.0159E7</v>
      </c>
      <c r="L27" s="5"/>
      <c r="M27" s="8" t="s">
        <v>40</v>
      </c>
      <c r="N27" s="8" t="s">
        <v>113</v>
      </c>
      <c r="O27" s="7">
        <v>9899000.0</v>
      </c>
      <c r="P27" s="9" t="s">
        <v>29</v>
      </c>
      <c r="Q27" s="5"/>
      <c r="R27" s="5"/>
      <c r="S27" s="5"/>
      <c r="T27" s="4"/>
      <c r="U27" s="4"/>
      <c r="V27" s="4"/>
      <c r="W27" s="4"/>
      <c r="X27" s="4"/>
      <c r="Y27" s="4"/>
      <c r="Z27" s="4"/>
    </row>
    <row r="28" ht="12.75" customHeight="1">
      <c r="A28" s="5" t="s">
        <v>109</v>
      </c>
      <c r="B28" s="6" t="s">
        <v>20</v>
      </c>
      <c r="C28" s="5" t="s">
        <v>110</v>
      </c>
      <c r="D28" s="5" t="s">
        <v>114</v>
      </c>
      <c r="E28" s="5">
        <v>1.0</v>
      </c>
      <c r="F28" s="7">
        <v>7904070.0</v>
      </c>
      <c r="G28" s="5" t="s">
        <v>24</v>
      </c>
      <c r="H28" s="7">
        <v>8269000.0</v>
      </c>
      <c r="I28" s="7">
        <v>300000.0</v>
      </c>
      <c r="J28" s="7">
        <f t="shared" si="1"/>
        <v>300000</v>
      </c>
      <c r="K28" s="10">
        <v>7969000.0</v>
      </c>
      <c r="L28" s="5"/>
      <c r="M28" s="8" t="s">
        <v>115</v>
      </c>
      <c r="N28" s="8" t="s">
        <v>116</v>
      </c>
      <c r="O28" s="7">
        <v>7549000.0</v>
      </c>
      <c r="P28" s="9" t="s">
        <v>117</v>
      </c>
      <c r="Q28" s="5"/>
      <c r="R28" s="5"/>
      <c r="S28" s="5"/>
      <c r="T28" s="4"/>
      <c r="U28" s="4"/>
      <c r="V28" s="4"/>
      <c r="W28" s="4"/>
      <c r="X28" s="4"/>
      <c r="Y28" s="4"/>
      <c r="Z28" s="4"/>
    </row>
    <row r="29" ht="12.75" customHeight="1">
      <c r="A29" s="5" t="s">
        <v>118</v>
      </c>
      <c r="B29" s="6" t="s">
        <v>20</v>
      </c>
      <c r="C29" s="5" t="s">
        <v>119</v>
      </c>
      <c r="D29" s="5" t="s">
        <v>44</v>
      </c>
      <c r="E29" s="5">
        <v>12.0</v>
      </c>
      <c r="F29" s="7">
        <v>8117970.0</v>
      </c>
      <c r="G29" s="5" t="s">
        <v>24</v>
      </c>
      <c r="H29" s="7">
        <v>8349000.0</v>
      </c>
      <c r="I29" s="7">
        <v>400000.0</v>
      </c>
      <c r="J29" s="7">
        <f t="shared" si="1"/>
        <v>4800000</v>
      </c>
      <c r="K29" s="10">
        <v>7949000.0</v>
      </c>
      <c r="L29" s="5"/>
      <c r="M29" s="8" t="s">
        <v>40</v>
      </c>
      <c r="N29" s="8" t="s">
        <v>41</v>
      </c>
      <c r="O29" s="7">
        <v>7359000.0</v>
      </c>
      <c r="P29" s="9" t="s">
        <v>43</v>
      </c>
      <c r="Q29" s="5"/>
      <c r="R29" s="5"/>
      <c r="S29" s="5"/>
      <c r="T29" s="4"/>
      <c r="U29" s="4"/>
      <c r="V29" s="4"/>
      <c r="W29" s="4"/>
      <c r="X29" s="4"/>
      <c r="Y29" s="4"/>
      <c r="Z29" s="4"/>
    </row>
    <row r="30" ht="12.75" customHeight="1">
      <c r="A30" s="5" t="s">
        <v>118</v>
      </c>
      <c r="B30" s="6" t="s">
        <v>20</v>
      </c>
      <c r="C30" s="5" t="s">
        <v>119</v>
      </c>
      <c r="D30" s="5" t="s">
        <v>120</v>
      </c>
      <c r="E30" s="5">
        <v>2.0</v>
      </c>
      <c r="F30" s="7">
        <v>7904070.0</v>
      </c>
      <c r="G30" s="5" t="s">
        <v>24</v>
      </c>
      <c r="H30" s="7">
        <v>8269000.0</v>
      </c>
      <c r="I30" s="7">
        <v>300000.0</v>
      </c>
      <c r="J30" s="7">
        <f t="shared" si="1"/>
        <v>600000</v>
      </c>
      <c r="K30" s="10">
        <v>7969000.0</v>
      </c>
      <c r="L30" s="5"/>
      <c r="M30" s="8" t="s">
        <v>115</v>
      </c>
      <c r="N30" s="8" t="s">
        <v>116</v>
      </c>
      <c r="O30" s="7">
        <v>7549000.0</v>
      </c>
      <c r="P30" s="9" t="s">
        <v>117</v>
      </c>
      <c r="Q30" s="5"/>
      <c r="R30" s="5"/>
      <c r="S30" s="5"/>
      <c r="T30" s="4"/>
      <c r="U30" s="4"/>
      <c r="V30" s="4"/>
      <c r="W30" s="4"/>
      <c r="X30" s="4"/>
      <c r="Y30" s="4"/>
      <c r="Z30" s="4"/>
    </row>
    <row r="31" ht="12.75" customHeight="1">
      <c r="A31" s="5" t="s">
        <v>121</v>
      </c>
      <c r="B31" s="6" t="s">
        <v>20</v>
      </c>
      <c r="C31" s="5" t="s">
        <v>59</v>
      </c>
      <c r="D31" s="5" t="s">
        <v>85</v>
      </c>
      <c r="E31" s="5">
        <v>3.0</v>
      </c>
      <c r="F31" s="7" t="s">
        <v>122</v>
      </c>
      <c r="G31" s="5" t="s">
        <v>123</v>
      </c>
      <c r="H31" s="7" t="s">
        <v>124</v>
      </c>
      <c r="I31" s="7" t="s">
        <v>38</v>
      </c>
      <c r="J31" s="7">
        <f t="shared" si="1"/>
        <v>3000000</v>
      </c>
      <c r="K31" s="7" t="s">
        <v>125</v>
      </c>
      <c r="L31" s="5"/>
      <c r="M31" s="8" t="s">
        <v>67</v>
      </c>
      <c r="N31" s="8" t="s">
        <v>126</v>
      </c>
      <c r="O31" s="7" t="s">
        <v>127</v>
      </c>
      <c r="P31" s="9" t="s">
        <v>128</v>
      </c>
      <c r="Q31" s="5"/>
      <c r="R31" s="5"/>
      <c r="S31" s="5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11"/>
      <c r="C32" s="4"/>
      <c r="D32" s="4"/>
      <c r="E32" s="4"/>
      <c r="F32" s="4"/>
      <c r="G32" s="4"/>
      <c r="H32" s="4"/>
      <c r="I32" s="12">
        <f t="shared" ref="I32:J32" si="2">SUM(I1:I31)</f>
        <v>15555000</v>
      </c>
      <c r="J32" s="12">
        <f t="shared" si="2"/>
        <v>139285000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1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11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11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1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11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11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11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11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11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11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11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11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11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11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11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11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11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11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11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1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11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11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1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1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1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1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1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1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1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1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1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1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1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1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1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1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1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1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1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1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1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1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1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1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1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1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1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1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1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1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1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1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1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1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1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1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1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1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1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1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1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1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1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1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1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1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1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1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1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1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1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1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1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1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1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1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1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1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1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1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1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1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1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1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1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1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1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1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1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1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1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1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1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1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1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1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1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1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1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1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1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1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1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1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1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1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1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1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1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1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1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1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1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1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1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1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1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1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1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1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1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1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1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1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1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1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1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1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1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1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1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1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1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1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1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1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1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1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1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1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1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1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1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1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1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1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1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1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1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1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1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1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1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1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1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1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1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1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1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1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1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1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1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1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1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1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1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1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1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1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1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1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1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1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1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1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1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1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1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1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1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1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1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1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1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1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1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1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1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1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1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1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1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1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1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1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1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1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1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1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1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1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1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1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1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1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1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1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1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1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1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1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1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1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1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1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1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1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1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1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1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1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1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1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1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1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1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1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1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1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1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1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1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1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1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1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1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1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1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1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1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1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1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1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1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1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1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1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1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1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1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1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1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1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1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1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1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1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1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1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1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1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1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1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1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1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1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1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1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1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1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1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1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1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1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1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1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1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1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1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1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1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1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1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1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1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1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1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1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11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11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11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11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11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11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11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11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11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11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11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11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11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11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11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11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11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11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11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11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11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11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11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11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11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11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11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11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11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11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11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11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11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11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11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11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11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11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11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11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11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11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11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11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11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11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11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11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11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11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11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11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11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11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11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11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11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11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11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11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11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11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11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11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11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11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11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11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11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11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11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11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11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11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11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11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11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11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11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11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11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11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11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11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11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11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11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11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11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11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11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11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11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11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11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11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11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11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11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11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11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11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11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11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11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11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11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11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11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11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11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11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11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11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11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11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11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11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11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11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11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11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11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11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11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11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11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11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11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11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11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11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11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11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11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11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11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11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11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11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11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11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11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11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11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11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11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11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11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11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11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11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11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11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11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11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11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11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11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11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11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11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11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11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11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11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11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11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11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11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11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11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11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11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11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11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11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11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11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11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11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11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11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11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11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11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11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11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11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11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11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11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11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11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11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11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11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11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11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11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11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11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11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11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11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11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11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11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11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11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11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11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11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11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11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11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11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11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11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11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11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11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11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11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11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11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11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11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11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11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11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11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11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11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11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11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11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11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11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11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11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11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11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11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11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11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11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11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11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11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11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11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11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11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11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11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11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11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11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11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11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11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11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11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11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11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11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11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11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11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11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11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11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11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11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11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11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11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11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11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11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11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11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11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11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11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11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11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11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11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11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11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11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11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11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11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11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11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11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11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11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11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11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11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11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11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11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11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11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11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11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11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11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11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11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11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11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11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11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11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11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11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11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11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11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11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11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11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11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11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11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11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11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11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11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11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11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11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11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11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11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11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11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11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11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11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11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11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11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11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11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11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11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11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11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11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11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11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11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11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11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11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11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11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11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11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11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11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11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11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11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11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11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11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11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11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11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11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11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11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11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11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11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11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11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11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11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11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11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11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11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11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11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11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11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11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11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11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11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11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11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11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11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11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11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11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11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11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11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11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11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11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11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11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11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11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11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11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11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11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11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11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11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11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11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11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11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11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11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11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11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11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11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11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11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11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11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11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11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11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11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11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11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11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11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11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11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11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11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11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11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11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11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11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11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11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11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11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11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11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11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11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11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11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11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11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11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11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11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11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11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11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11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11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11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11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11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11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11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11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11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11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11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11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11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11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11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11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11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11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11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11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11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11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11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11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11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11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11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11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11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11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11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11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11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11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11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11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11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11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11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11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11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11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11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11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11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11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11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11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11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11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11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11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11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11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11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11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11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11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11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11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11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11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11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11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11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11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11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11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11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11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11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11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11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11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11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11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11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11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11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11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11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11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11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11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11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11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11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11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11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11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11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11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11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11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11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11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11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11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11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11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11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11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11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11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11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11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11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11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11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11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11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11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11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11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11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11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11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11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11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11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11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11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11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11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11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11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11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11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11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11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11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11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11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11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11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11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11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11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11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11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11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11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11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11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11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11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11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11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11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11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11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11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11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11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11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11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11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11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11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11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11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11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11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11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11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