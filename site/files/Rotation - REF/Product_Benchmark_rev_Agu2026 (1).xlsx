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a Harga-Kapasitas" sheetId="1" r:id="rId5"/>
    <sheet state="visible" name="All Benchmark" sheetId="2" r:id="rId6"/>
  </sheets>
  <definedNames>
    <definedName hidden="1" localSheetId="1" name="_xlnm._FilterDatabase">'All Benchmark'!$A$4:$Y$106</definedName>
  </definedNames>
  <calcPr/>
</workbook>
</file>

<file path=xl/sharedStrings.xml><?xml version="1.0" encoding="utf-8"?>
<sst xmlns="http://schemas.openxmlformats.org/spreadsheetml/2006/main" count="1025" uniqueCount="403">
  <si>
    <t>MASTER BENCHMARK SKU — KULKAS INDONESIA  (rev. gross/nett + data AQUA)</t>
  </si>
  <si>
    <t>Kuning = input manual. Hijau = rumus, jangan ditimpa. Oranye = nilai asumsi. Merah muda = spread antar-channel di atas 10%.</t>
  </si>
  <si>
    <t>No</t>
  </si>
  <si>
    <t>Brand</t>
  </si>
  <si>
    <t>Kode Model</t>
  </si>
  <si>
    <t>Series</t>
  </si>
  <si>
    <t>Tipe Pintu</t>
  </si>
  <si>
    <t>Gross Capacity
(L)</t>
  </si>
  <si>
    <t>Nett Capacity
(L)</t>
  </si>
  <si>
    <t>Material Pintu</t>
  </si>
  <si>
    <t>Kompresor</t>
  </si>
  <si>
    <t>Fitur Kunci</t>
  </si>
  <si>
    <t>Customer Need</t>
  </si>
  <si>
    <t>MODERN
Electronic City
(Rp)</t>
  </si>
  <si>
    <t>MODERN
UFO Elektronika
(Rp)</t>
  </si>
  <si>
    <t>MODERN
Hartono
(Rp)</t>
  </si>
  <si>
    <t>TRADISIONAL
Candi Bantas Pos
(Rp)</t>
  </si>
  <si>
    <t>TRADISIONAL
Pondok Elektronik
(Rp)</t>
  </si>
  <si>
    <t>ONLINE
E-commerce
(Rp)</t>
  </si>
  <si>
    <t>Harga Rata-rata
(Rp)</t>
  </si>
  <si>
    <t>Harga Terendah
(Rp)</t>
  </si>
  <si>
    <t>Harga Tertinggi
(Rp)</t>
  </si>
  <si>
    <t>Spread Antar-
Channel (%)</t>
  </si>
  <si>
    <t>Jml Channel</t>
  </si>
  <si>
    <t>Rp per Liter
(basis Nett)</t>
  </si>
  <si>
    <t>Tanggal Update</t>
  </si>
  <si>
    <t>Sumber / Catatan</t>
  </si>
  <si>
    <t>Haier</t>
  </si>
  <si>
    <t>HRF-CTD729RITA(BK)U1</t>
  </si>
  <si>
    <t>Horizon</t>
  </si>
  <si>
    <t>Multi-Door (4 Pintu)</t>
  </si>
  <si>
    <t>Glass</t>
  </si>
  <si>
    <t>Inverter</t>
  </si>
  <si>
    <t>ABT Pro; Active Fresh Zone; Magnetic Freshness</t>
  </si>
  <si>
    <t>Halo product / statement dapur premium</t>
  </si>
  <si>
    <t>04-Agu-2026</t>
  </si>
  <si>
    <t>UFO Elektronika (ufoelektronika.com), akses 4-Agu-2026. Angka 650 L belum dipastikan gross/nett. Material = asumsi.</t>
  </si>
  <si>
    <t>HRF-CTD779RSA(BK)U1</t>
  </si>
  <si>
    <t>ABT Pro; Active Fresh Zone; kapasitas jumbo</t>
  </si>
  <si>
    <t>Keluarga besar 5+ org, stok belanja bulanan</t>
  </si>
  <si>
    <t>UFO Elektronika (ufoelektronika.com), akses 4-Agu-2026. Basis kapasitas belum dipastikan. Material = asumsi.</t>
  </si>
  <si>
    <t>HRF-CTD779RAA(BK)</t>
  </si>
  <si>
    <t>ABT Pro; kapasitas jumbo</t>
  </si>
  <si>
    <t>Kapasitas maksimal dengan harga masuk akal</t>
  </si>
  <si>
    <t>UFO Elektronika (ufoelektronika.com), akses 4-Agu-2026. SKU volume Horizon. Basis kapasitas belum dipastikan.</t>
  </si>
  <si>
    <t>HRF-CMD589RSG(WT)U1</t>
  </si>
  <si>
    <t>Space Fit</t>
  </si>
  <si>
    <t>Multi-Door (5 Pintu)</t>
  </si>
  <si>
    <t>5 pintu; desain hemat ruang</t>
  </si>
  <si>
    <t>Dapur sempit tapi butuh kompartemen terpisah</t>
  </si>
  <si>
    <t>UFO Elektronika (ufoelektronika.com), akses 4-Agu-2026. Basis kapasitas belum dipastikan.</t>
  </si>
  <si>
    <t>HRF-CTD579RSG(WT)U1</t>
  </si>
  <si>
    <t>Desain hemat ruang</t>
  </si>
  <si>
    <t>Apartemen / rumah tipe menengah</t>
  </si>
  <si>
    <t>HRF-CTD619RSG(WT)U1</t>
  </si>
  <si>
    <t>Space Slim</t>
  </si>
  <si>
    <t>Metal</t>
  </si>
  <si>
    <t>Bodi slim, kapasitas besar</t>
  </si>
  <si>
    <t>Muat di celah dapur sempit</t>
  </si>
  <si>
    <t>HRF-CTD619RSG(CG)U1</t>
  </si>
  <si>
    <t>Bodi slim; varian Charcoal Grey</t>
  </si>
  <si>
    <t>Harga belum ditemukan di kanal mana pun — WAJIB dicek tim.</t>
  </si>
  <si>
    <t>HRF-CTD579RSG(BK)U1</t>
  </si>
  <si>
    <t>Bodi slim</t>
  </si>
  <si>
    <t>Upgrade pertama dari 2 pintu</t>
  </si>
  <si>
    <t>HRF-CTD579RAG(BK)</t>
  </si>
  <si>
    <t>Bodi slim; entry multi-door</t>
  </si>
  <si>
    <t>Entry point multi-door termurah Haier</t>
  </si>
  <si>
    <t>UFO Elektronika (ufoelektronika.com), akses 4-Agu-2026. TITIK KANIBALISASI vs AQUA CTD506.</t>
  </si>
  <si>
    <t>AQUA</t>
  </si>
  <si>
    <t>AQR-CSE696RSV(SL)U1</t>
  </si>
  <si>
    <t>Side by Side</t>
  </si>
  <si>
    <t>Side-by-Side</t>
  </si>
  <si>
    <t>Kapasitas total 618 L; volume freezer bersih 186 L</t>
  </si>
  <si>
    <t>Keluarga besar, flagship SBS AQUA</t>
  </si>
  <si>
    <t>Electronic City Jul-2026 (file EC_BENCHMARK tim). UFO Elektronika (ufoelektronika.com), akses 4-Agu-2026. Hartono (myhartono.com), akses 4-Agu-2026. BUKTI GROSS vs NETT: EC &amp; Hartono pakai 658 (gross), UFO pakai 618 (nett/total terpakai).</t>
  </si>
  <si>
    <t>AQR-TSE696RAV(MX)</t>
  </si>
  <si>
    <t>Electronic City Jul-2026 (file EC_BENCHMARK tim). Basis kapasitas belum dipastikan.</t>
  </si>
  <si>
    <t>AQR-TSE605RBM(MX)</t>
  </si>
  <si>
    <t>Twin Inverter</t>
  </si>
  <si>
    <t>HCS Humidity Zone; Multi Air Flow; H-DEO; 90 derajat Door Open</t>
  </si>
  <si>
    <t>Kapasitas besar, harga menengah</t>
  </si>
  <si>
    <t>UFO Elektronika (ufoelektronika.com), akses 4-Agu-2026. SKU ini TIDAK ADA di EC_BENCHMARK — perlu dicek apakah tidak dijual di EC.</t>
  </si>
  <si>
    <t>AQR-CSE605RBC(CB)</t>
  </si>
  <si>
    <t>AQR-CSE565RBC(CB)</t>
  </si>
  <si>
    <t>Twin Inverter; H-Deo Fresh; Anti-scratch metal door; Digital temp control</t>
  </si>
  <si>
    <t>Kapasitas besar entry SBS</t>
  </si>
  <si>
    <t xml:space="preserve"> </t>
  </si>
  <si>
    <t>Electronic City Jul-2026 (file EC_BENCHMARK tim). UFO Elektronika (ufoelektronika.com), akses 4-Agu-2026. Spread EC vs UFO 13,4%.</t>
  </si>
  <si>
    <t>AQR-605IM(GB)</t>
  </si>
  <si>
    <t>Sumbu X = kapasitas (liter). Sumbu Y = harga rata-rata (Rp). Setiap titik = satu SKU. Hanya SKU yang sudah punya harga yang dipetakan.</t>
  </si>
  <si>
    <t>DEO Fresh; Twin Inverter; digital temp control; twist ice maker</t>
  </si>
  <si>
    <t>Kapasitas besar, black metal</t>
  </si>
  <si>
    <t>A. DATA SUMBER GRAFIK</t>
  </si>
  <si>
    <t>Kapasitas (L)
= sumbu X</t>
  </si>
  <si>
    <t>Harga Rata-rata (Rp)
= sumbu Y</t>
  </si>
  <si>
    <t>Rp per Liter</t>
  </si>
  <si>
    <t>Hartono (myhartono.com), akses 4-Agu-2026. CATATAN: harga dari artikel blog Hartono 2024 — SUDAH USANG, wajib dicek ulang.</t>
  </si>
  <si>
    <t>AQR-CTD746RAG(BK)U1</t>
  </si>
  <si>
    <t>Multidoor</t>
  </si>
  <si>
    <t>Multi-Door</t>
  </si>
  <si>
    <t>Smart WiFi/IoT; Twin Inverter; aluminium handle; 40 Watt</t>
  </si>
  <si>
    <t>Flagship AQUA, keluarga besar premium</t>
  </si>
  <si>
    <t>Electronic City Jul-2026 (file EC_BENCHMARK tim). UFO Elektronika (ufoelektronika.com), akses 4-Agu-2026. SPREAD TERBESAR: 17,2% antara EC dan UFO.</t>
  </si>
  <si>
    <t>AQR-TTD546RBG(WT)</t>
  </si>
  <si>
    <t>Multi-Door 5P</t>
  </si>
  <si>
    <t>Classified Storage; H-Deo; Multi Air Flow; HCS Moist Zone; 3 Temperature</t>
  </si>
  <si>
    <t>Keluarga menengah, multidoor putih</t>
  </si>
  <si>
    <t>Electronic City Jul-2026 (file EC_BENCHMARK tim). UFO Elektronika (ufoelektronika.com), akses 4-Agu-2026. Spread 13,9%.</t>
  </si>
  <si>
    <t>AQR-TTD546RBG(BK)</t>
  </si>
  <si>
    <t>LG</t>
  </si>
  <si>
    <t>GN-B212PQNF</t>
  </si>
  <si>
    <t>2 Pintu</t>
  </si>
  <si>
    <t>Electronic City Jul-2026 (file EC_BENCHMARK tim).</t>
  </si>
  <si>
    <t>AQR-TTD546RBV(MX)</t>
  </si>
  <si>
    <t>GN-B262PQSF</t>
  </si>
  <si>
    <t>GC-L257CQEL/BL</t>
  </si>
  <si>
    <t>GC-B257SQYL</t>
  </si>
  <si>
    <t>Samsung</t>
  </si>
  <si>
    <t>AQR-CTD506RGC(CB)</t>
  </si>
  <si>
    <t>RT22FARBDB1/BL</t>
  </si>
  <si>
    <t>Capacity 406 L; Freezer Volume Net 139 L</t>
  </si>
  <si>
    <t>Multidoor entry</t>
  </si>
  <si>
    <t>RT25FARBDB1</t>
  </si>
  <si>
    <t>Electronic City Jul-2026 (file EC_BENCHMARK tim). UFO Elektronika (ufoelektronika.com), akses 4-Agu-2026. BUKTI GROSS vs NETT: EC pakai 425 (gross), UFO pakai 406 (nett).</t>
  </si>
  <si>
    <t>RT35CG5440S9SE</t>
  </si>
  <si>
    <t>AQR-CTD506RGG(BK)</t>
  </si>
  <si>
    <t>RT38CG6420B1SE</t>
  </si>
  <si>
    <t>RT38CB66408J</t>
  </si>
  <si>
    <t>RF48A8000B4</t>
  </si>
  <si>
    <t>RS57DG4000M9/SL</t>
  </si>
  <si>
    <t>UFO Elektronika (ufoelektronika.com), akses 4-Agu-2026. Varian warna dari CTD506. Tidak ada di EC_BENCHMARK.</t>
  </si>
  <si>
    <t>AQR-IG685AMT</t>
  </si>
  <si>
    <t>Side by Side 3 Pintu</t>
  </si>
  <si>
    <t>RS90F65DNFSE</t>
  </si>
  <si>
    <t>RS70F65KNFSE/BL</t>
  </si>
  <si>
    <t>RS70F65QNFSE/BL</t>
  </si>
  <si>
    <t>UFO Elektronika (ufoelektronika.com), akses 4-Agu-2026. Terdaftar di UFO, harga belum terekstrak — WAJIB dicek.</t>
  </si>
  <si>
    <t>B. HEAD-TO-HEAD DI KELAS 640–700 LITER (zona tabrakan langsung)</t>
  </si>
  <si>
    <t>AQR-VTM535RSG(CL)</t>
  </si>
  <si>
    <t>Big Two Door</t>
  </si>
  <si>
    <t>Di rentang kapasitas yang praktis sama, harga berbeda hampir 3x lipat. Inilah titik di mana konsumen paling sulit memahami kenapa.</t>
  </si>
  <si>
    <t>Kapasitas (L)</t>
  </si>
  <si>
    <t>Harga (Rp)</t>
  </si>
  <si>
    <t>Selisih vs Termurah di Kelas</t>
  </si>
  <si>
    <t>Kapasitas besar tanpa pindah ke multidoor</t>
  </si>
  <si>
    <t>Hartono (myhartono.com), akses 4-Agu-2026. Kapasitas belum tercatat — WAJIB dicek. Pesaing langsung Sharp SJ-IG863/963.</t>
  </si>
  <si>
    <t>AQR-DTM305RAV(MX)</t>
  </si>
  <si>
    <t>Top Mount Inverter</t>
  </si>
  <si>
    <t>Turbo Cooling; freezer lebih besar</t>
  </si>
  <si>
    <t>Keluarga inti</t>
  </si>
  <si>
    <t>Electronic City Jul-2026 (file EC_BENCHMARK tim). UFO Elektronika (ufoelektronika.com), akses 4-Agu-2026. Spread 14,6%.</t>
  </si>
  <si>
    <t>AQR-DTM288CB(DP)</t>
  </si>
  <si>
    <t>Magic Neo</t>
  </si>
  <si>
    <t>Magic Neo; Bigger Freezer; Energy Saving; Turbo Cooling</t>
  </si>
  <si>
    <t>Kapasitas 2 pintu besar, harga terjangkau</t>
  </si>
  <si>
    <t>UFO Elektronika (ufoelektronika.com), akses 4-Agu-2026. Tidak ada di EC_BENCHMARK — gap line-up EC.</t>
  </si>
  <si>
    <t>AQR-DTM248CB(DP)</t>
  </si>
  <si>
    <t>Turbo Cooling</t>
  </si>
  <si>
    <t>Turbo Cooling; fresh-air circulation</t>
  </si>
  <si>
    <t>Keluarga inti value</t>
  </si>
  <si>
    <t>C. CAKUPAN PORTOFOLIO per BAND KAPASITAS (jumlah SKU yang sudah punya harga)</t>
  </si>
  <si>
    <t>Kosong = tidak ada SKU di band itu. Baca ini bersama grafik: grafik menunjukkan posisi, tabel ini menunjukkan lubang.</t>
  </si>
  <si>
    <t>Band Kapasitas</t>
  </si>
  <si>
    <t>Rentang Harga di Band Ini</t>
  </si>
  <si>
    <t>UFO Elektronika (ufoelektronika.com), akses 4-Agu-2026. Tidak ada di EC_BENCHMARK.</t>
  </si>
  <si>
    <t>AQR-DTM285RAV(MX)</t>
  </si>
  <si>
    <t>200-250 L</t>
  </si>
  <si>
    <t>Keluarga muda</t>
  </si>
  <si>
    <t>s/d</t>
  </si>
  <si>
    <t>250-300 L</t>
  </si>
  <si>
    <t>300-350 L</t>
  </si>
  <si>
    <t>350-400 L</t>
  </si>
  <si>
    <t>Electronic City Jul-2026 (file EC_BENCHMARK tim). UFO Elektronika (ufoelektronika.com), akses 4-Agu-2026. Spread 12,3%.</t>
  </si>
  <si>
    <t>AQR-DTM285CBP(DS)</t>
  </si>
  <si>
    <t>CBP Series</t>
  </si>
  <si>
    <t>400-450 L</t>
  </si>
  <si>
    <t>Entry 2 pintu</t>
  </si>
  <si>
    <t>450-500 L</t>
  </si>
  <si>
    <t>500-550 L</t>
  </si>
  <si>
    <t>550-600 L</t>
  </si>
  <si>
    <t>Electronic City Jul-2026 (file EC_BENCHMARK tim). Hartono (myhartono.com), akses 4-Agu-2026. Harga Hartono untuk 'DTM285CBP SERIES' — varian persis perlu dikonfirmasi.</t>
  </si>
  <si>
    <t>AQR-DTM285CBV(SG)</t>
  </si>
  <si>
    <t>Star Gold</t>
  </si>
  <si>
    <t>600-650 L</t>
  </si>
  <si>
    <t>Varian warna Star Gold</t>
  </si>
  <si>
    <t>650-700 L</t>
  </si>
  <si>
    <t>Entry 2 pintu, diferensiasi warna</t>
  </si>
  <si>
    <t>700 L ke atas</t>
  </si>
  <si>
    <t>D. CARA MEMBACA GRAFIK INI SAAT PRESENTASI</t>
  </si>
  <si>
    <t>Hartono (myhartono.com), akses 4-Agu-2026. Tidak ada di EC_BENCHMARK maupun UFO.</t>
  </si>
  <si>
    <t>1. HAIER TIDAK PUNYA SATU PUN SKU DI BAWAH 500 LITER. Samsung menutup rentang 234–680 L nyaris tanpa putus (10 SKU). LG punya lubang besar antara 287 L dan 674 L. Titik-titik Haier menumpuk rapat di 500–700 L — portofolionya sempit dan hanya bermain di ujung atas.</t>
  </si>
  <si>
    <t>AQR-DTM265RAV(MX)</t>
  </si>
  <si>
    <t>2. DI 650–700 LITER, HAIER ADALAH YANG TERMAHAL. Haier 779RAA (700 L) Rp17,999 jt vs LG GC-B257SQYL (694 L) Rp12,029 jt — selisih 49,6% untuk kapasitas yang praktis sama. Ini membalik kesimpulan sebelumnya yang hanya membandingkan Haier dengan Sharp multi-door.</t>
  </si>
  <si>
    <t>3. TAPI PERBANDINGANNYA BELUM APPLE-TO-APPLE. Titik Haier di kelas jumbo semuanya Multi-Door; titik LG dan Samsung semuanya Side-by-Side. Ini form factor berbeda dengan struktur biaya berbeda. Sampaikan caveat ini sebelum ada yang menyimpulkan Haier kemahalan.</t>
  </si>
  <si>
    <t>4. TITIK Rp35 JUTA ITU BUKAN PRODUK VOLUME. Haier 729RITA (650 L, Rp34,999 jt) dan Samsung RS90 (641 L, Rp30 jt) adalah halo product. Keduanya menarik garis rata-rata ke atas. Kalau menghitung rata-rata harga per brand, keluarkan dua titik ini dulu.</t>
  </si>
  <si>
    <t>5. ADA LUBANG BERSAMA DI 300–500 LITER. Haier nol, LG nol, hanya Samsung yang punya (3 SKU). Kalau data ini benar, band 400–500 L adalah ruang yang relatif kosong untuk ketiga merek — layak dicek apakah karena permintaan memang tipis atau karena kita semua melewatkannya.</t>
  </si>
  <si>
    <t>CATATAN KETERBATASAN</t>
  </si>
  <si>
    <t>a. Harga Samsung RS90F65DNFSE (Rp30 jt) masih ESTIMASI dari artikel media, bukan listing ritel. Titik ini paling rapuh di seluruh grafik.</t>
  </si>
  <si>
    <t>b. Sumbu X memakai kapasitas apa adanya — sebagian gross, sebagian nett. Untuk LG, angka yang dipakai adalah gross (GC-B257SQYL 694 L). Kalau dipakai nett, titik LG akan bergeser ke kiri dan gap harganya justru melebar.</t>
  </si>
  <si>
    <t>Entry inverter</t>
  </si>
  <si>
    <t>c. Dua SKU LG (GC-X257CSEW dan GC-L22FFLQB) belum punya harga sehingga tidak muncul di grafik. Keduanya ada di rentang 570–674 L, jadi peta LG di kelas jumbo masih belum lengkap.</t>
  </si>
  <si>
    <t>d. Harga Haier hanya dari satu channel (UFO). Harga Samsung sebagian besar dari Electronic City. Beda channel, dan dari bab sebelumnya kita tahu selisih antar-channel bisa mencapai 17%.</t>
  </si>
  <si>
    <t>UFO Elektronika (ufoelektronika.com), akses 4-Agu-2026. MENGISI DATA KOSONG: di EC_BENCHMARK harga SKU ini tercatat 0.</t>
  </si>
  <si>
    <t>AQR-DTM268CB(DP)</t>
  </si>
  <si>
    <t>Turbo Cooling; Bigger Freezer; -1C Chiller Box; Humidity Control</t>
  </si>
  <si>
    <t>Entry 2 pintu dengan chiller</t>
  </si>
  <si>
    <t>AQR-DTM265CBP(DS)</t>
  </si>
  <si>
    <t>Di EC_BENCHMARK harga 0 (data kosong). Belum ditemukan di UFO/Hartono.</t>
  </si>
  <si>
    <t>AQR-DTM245CBP(DS)</t>
  </si>
  <si>
    <t xml:space="preserve">   </t>
  </si>
  <si>
    <t>Entry 2 pintu terkecil</t>
  </si>
  <si>
    <t>AQR-D225(MDS)</t>
  </si>
  <si>
    <t>Giant Freezer</t>
  </si>
  <si>
    <t>1 Pintu</t>
  </si>
  <si>
    <t>Giant Freezer; Environmental Friendly; Semi-Auto Defrost</t>
  </si>
  <si>
    <t>Rumah tangga kecil / kamar kos</t>
  </si>
  <si>
    <t>UFO Elektronika (ufoelektronika.com), akses 4-Agu-2026. Terdaftar di UFO (judul 180 Liter), harga belum terekstrak — WAJIB dicek.</t>
  </si>
  <si>
    <t>AQR-D205(MDS)</t>
  </si>
  <si>
    <t>UFO Elektronika (ufoelektronika.com), akses 4-Agu-2026. Titik harga terendah portofolio AQUA.</t>
  </si>
  <si>
    <t>AQR-D185(MDS)</t>
  </si>
  <si>
    <t>Bigger Freezer Room; R600a; Semi-Auto Defrost; 67 Watt</t>
  </si>
  <si>
    <t>Kamar kos / warung kecil</t>
  </si>
  <si>
    <t>UFO Elektronika (ufoelektronika.com), akses 4-Agu-2026. Spec resmi UFO: 'Net Capacity (L) 145'. Harga belum terekstrak.</t>
  </si>
  <si>
    <t>AQR-D181(LK)</t>
  </si>
  <si>
    <t>Low Voltage Running; 48 Hours Cooling Retention; Dual Function</t>
  </si>
  <si>
    <t>Area listrik tidak stabil</t>
  </si>
  <si>
    <t>UFO Elektronika (ufoelektronika.com), akses 4-Agu-2026. Harga belum terekstrak — WAJIB dicek.</t>
  </si>
  <si>
    <t>Sharp</t>
  </si>
  <si>
    <t>SJ-IF91PG-GB</t>
  </si>
  <si>
    <t>Plasmacluster Ion; J-Tech Inverter; Full Tempered Glass</t>
  </si>
  <si>
    <t>Keluarga besar, merek paling dipercaya</t>
  </si>
  <si>
    <t>Electronic City Jul-2026 (file EC_BENCHMARK tim). + media/ritel Mei-2026. Basis kapasitas belum dipastikan.</t>
  </si>
  <si>
    <t>SJ-IF51P-GCG</t>
  </si>
  <si>
    <t>J-Tech Inverter; humidity control; kaca motif</t>
  </si>
  <si>
    <t>Tampilan premium tanpa harga tertinggi</t>
  </si>
  <si>
    <t>Media/ritel Mei-2026.</t>
  </si>
  <si>
    <t>SJ-IF51PG-BK</t>
  </si>
  <si>
    <t>Twist Ice Maker; 4 boks freezer</t>
  </si>
  <si>
    <t>Multi-door entry dengan brand kuat</t>
  </si>
  <si>
    <t>Electronic City Jul-2026 (file EC_BENCHMARK tim). + Mitra10 2026.</t>
  </si>
  <si>
    <t>SJ-IF90PM-DS</t>
  </si>
  <si>
    <t>Side-by-side 4 pintu</t>
  </si>
  <si>
    <t>Statement dapur + kapasitas</t>
  </si>
  <si>
    <t>Mitra10 2026. Kapasitas &amp; material perlu dicek.</t>
  </si>
  <si>
    <t>SJ-IG963PG-BK</t>
  </si>
  <si>
    <t>Plasmacluster; kaca hitam</t>
  </si>
  <si>
    <t>Kapasitas besar tanpa pindah ke multi-door</t>
  </si>
  <si>
    <t>Mitra10 2026.</t>
  </si>
  <si>
    <t>SJ-IG863PG-BK</t>
  </si>
  <si>
    <t>Kapasitas besar, budget menengah</t>
  </si>
  <si>
    <t>SJ-IG962PM-SL</t>
  </si>
  <si>
    <t>Plasmacluster; finish metal</t>
  </si>
  <si>
    <t>Kapasitas besar, harga lebih rendah dari glass</t>
  </si>
  <si>
    <t>Mitra10 2026. Selisih Glass vs Metal terlihat di sini.</t>
  </si>
  <si>
    <t>SJ-456GI-MK</t>
  </si>
  <si>
    <t>Inverter; No Frost</t>
  </si>
  <si>
    <t>Keluarga inti, kebutuhan standar</t>
  </si>
  <si>
    <t>Mitra10 2026. Kapasitas perlu dicek.</t>
  </si>
  <si>
    <t>SJ-326XI-MK</t>
  </si>
  <si>
    <t>Electronic City Jul-2026 (file EC_BENCHMARK tim). + Mitra10 2026. Spread 5,2%.</t>
  </si>
  <si>
    <t>SJ-317MG</t>
  </si>
  <si>
    <t>Non-Inverter</t>
  </si>
  <si>
    <t>Non-inverter, entry</t>
  </si>
  <si>
    <t>Entry level, sensitif harga</t>
  </si>
  <si>
    <t>GC-X257CSEW</t>
  </si>
  <si>
    <t>InstaView</t>
  </si>
  <si>
    <t>InstaView Door-in-Door; UVnano; Smart Control</t>
  </si>
  <si>
    <t>Premium tech + gaya hidup smart home</t>
  </si>
  <si>
    <t>Spec LG: 674 L gross / 617 L nett. Harga belum terekstrak — WAJIB dicek.</t>
  </si>
  <si>
    <t>Smart Inverter Compressor</t>
  </si>
  <si>
    <t>Kapasitas besar merek Korea</t>
  </si>
  <si>
    <t>Mitra10 2026. Gross/nett mengikuti platform 674/617.</t>
  </si>
  <si>
    <t>Smart Inverter Compressor; pintu UltraSleek</t>
  </si>
  <si>
    <t>Kapasitas maksimal, harga agresif</t>
  </si>
  <si>
    <t>Blibli 2026. Pesaing harga langsung Horizon 779RAA.</t>
  </si>
  <si>
    <t>GC-L22FFLQB</t>
  </si>
  <si>
    <t>Multi-door merek Korea</t>
  </si>
  <si>
    <t>Spec LG: 570 L gross / 427 L nett — selisih 25%, TERBESAR di benchmark. Harga belum terekstrak.</t>
  </si>
  <si>
    <t>Inverter; No Frost; rak kaca tempered</t>
  </si>
  <si>
    <t>Blibli 2026. Spec LG: 287 gross / 266 nett.</t>
  </si>
  <si>
    <t>Multi Air Flow; Fresh O Zone; Inverter</t>
  </si>
  <si>
    <t>Keluarga muda / pasangan baru</t>
  </si>
  <si>
    <t>Electronic City Jul-2026 (file EC_BENCHMARK tim). + Blibli 2026. Spec LG: 235 gross / 217 nett. Spread channel 11,7%.</t>
  </si>
  <si>
    <t>Bespoke AI</t>
  </si>
  <si>
    <t>AI Home 9 inci / Family Hub 21,5 inci; SpaceMax; SmartThings</t>
  </si>
  <si>
    <t>Early adopter tech, smart home</t>
  </si>
  <si>
    <t>Media Apr-2026. Harga ESTIMASI, wajib dicek ritel.</t>
  </si>
  <si>
    <t>Kapasitas besar + bundling gadget</t>
  </si>
  <si>
    <t>Electronic City Jul-2026 (file EC_BENCHMARK tim). Harga NET setelah bundling Galaxy A26 senilai Rp4 jt (list Rp21.799.000).</t>
  </si>
  <si>
    <t>Kapasitas terbesar Samsung SBS</t>
  </si>
  <si>
    <t>Electronic City Jul-2026 (file EC_BENCHMARK tim). Harga NET setelah Ultra Voucher Rp600rb (list Rp14.699.000).</t>
  </si>
  <si>
    <t>SBS menengah</t>
  </si>
  <si>
    <t>Electronic City Jul-2026 (file EC_BENCHMARK tim). Harga NET setelah Ultra Voucher Rp300rb (list Rp10.549.000).</t>
  </si>
  <si>
    <t>RF65DB90B012SE</t>
  </si>
  <si>
    <t>Bespoke Multidoor</t>
  </si>
  <si>
    <t>Triple Cooling; panel warna kustom</t>
  </si>
  <si>
    <t>Personalisasi desain dapur</t>
  </si>
  <si>
    <t>Listing Blibli, harga belum terekstrak.</t>
  </si>
  <si>
    <t>Multidoor Samsung</t>
  </si>
  <si>
    <t>Electronic City Jul-2026 (file EC_BENCHMARK tim). Termasuk Ultra Voucher Rp300rb; harga list belum tercatat.</t>
  </si>
  <si>
    <t>Ungkep Compartment</t>
  </si>
  <si>
    <t>Ungkep Compartment (fitur lokal)</t>
  </si>
  <si>
    <t>Kebiasaan masak Indonesia</t>
  </si>
  <si>
    <t>Bespoke 2 Pintu</t>
  </si>
  <si>
    <t>Bespoke panel warna</t>
  </si>
  <si>
    <t>Estetika dapur, budget menengah</t>
  </si>
  <si>
    <t>Midea</t>
  </si>
  <si>
    <t>MDRS715FGF28ID</t>
  </si>
  <si>
    <t>Platinum Fresh; Multi Air Flow; ruang +30cm; Digital Control</t>
  </si>
  <si>
    <t>Kapasitas besar, budget terbatas</t>
  </si>
  <si>
    <t>Electronic City Jul-2026 (file EC_BENCHMARK tim). MENGONFIRMASI kapasitas &amp; harga riil SBS Midea (sebelumnya hanya 'mulai Rp5 jutaan').</t>
  </si>
  <si>
    <t>MDRS715FGF30ID</t>
  </si>
  <si>
    <t>Platinum Fresh; Multi Air Flow</t>
  </si>
  <si>
    <t>Rilis pers Feb-2026 'mulai Rp5 jutaan'. Varian berbeda dari 28ID.</t>
  </si>
  <si>
    <t>MDRF632FIF28ID</t>
  </si>
  <si>
    <t>Multidoor value</t>
  </si>
  <si>
    <t>MDRF550FGF28ID</t>
  </si>
  <si>
    <t>Everest</t>
  </si>
  <si>
    <t>Kapasitas terbesar di kelasnya</t>
  </si>
  <si>
    <t>Kapasitas besar harga entry</t>
  </si>
  <si>
    <t>Rilis pers Jan-2025 'mulai Rp4,5 jutaan'. Perlu cek harga terkini.</t>
  </si>
  <si>
    <t>Electrolux</t>
  </si>
  <si>
    <t>ESE6645A</t>
  </si>
  <si>
    <t>UltimateTaste</t>
  </si>
  <si>
    <t>ESE6600B-B</t>
  </si>
  <si>
    <t>ESE5100-B</t>
  </si>
  <si>
    <t>ESE4500A-B</t>
  </si>
  <si>
    <t>EQE4900A</t>
  </si>
  <si>
    <t>EQE4200A-B</t>
  </si>
  <si>
    <t>EQE4960A-B</t>
  </si>
  <si>
    <t>TasteLock; Dual Crisper; EvenTemp</t>
  </si>
  <si>
    <t>Positioning Eropa, food preservation</t>
  </si>
  <si>
    <t>EQE5600A-S</t>
  </si>
  <si>
    <t>UltimateTaste 700</t>
  </si>
  <si>
    <t>Kompresor inverter</t>
  </si>
  <si>
    <t>Positioning Eropa</t>
  </si>
  <si>
    <t>EQE4905A-B</t>
  </si>
  <si>
    <t>UltimateTaste 600</t>
  </si>
  <si>
    <t>No Frost; QuickFreeze; desain kaca</t>
  </si>
  <si>
    <t>Estetika + preservation</t>
  </si>
  <si>
    <t>Listing UFO, harga belum terekstrak.</t>
  </si>
  <si>
    <t>ETM2500A-B</t>
  </si>
  <si>
    <t>Top Mount</t>
  </si>
  <si>
    <t>Toshiba</t>
  </si>
  <si>
    <t>GR-RS696WE-PMF/DY</t>
  </si>
  <si>
    <t>GR-RS600WI-PMF</t>
  </si>
  <si>
    <t>GR-RF611WI-PGF/BL</t>
  </si>
  <si>
    <t>Hisense</t>
  </si>
  <si>
    <t>RS708N4IBU/BL</t>
  </si>
  <si>
    <t>RQ630N4IGUI3/GY</t>
  </si>
  <si>
    <t>Electronic City Jul-2026 (file EC_BENCHMARK tim). Pesaing langsung AQR-CTD746RAG.</t>
  </si>
  <si>
    <t>RQ556N4IBU/BL</t>
  </si>
  <si>
    <t>RQ561N4IWU</t>
  </si>
  <si>
    <t>RT266N4IBN</t>
  </si>
  <si>
    <t>RT208N4ISN</t>
  </si>
  <si>
    <t>RS599N4ISN</t>
  </si>
  <si>
    <t>Multi Air Flow; Super Freeze &amp; Cool</t>
  </si>
  <si>
    <t>Value big-capacity</t>
  </si>
  <si>
    <t>TCL</t>
  </si>
  <si>
    <t>P650SBS</t>
  </si>
  <si>
    <t>Modena</t>
  </si>
  <si>
    <t>RF 4671 SADS</t>
  </si>
  <si>
    <t>RF 4311 MADS</t>
  </si>
  <si>
    <t>RF2250TGDS</t>
  </si>
  <si>
    <t>Polytron</t>
  </si>
  <si>
    <t>PRS 520Y</t>
  </si>
  <si>
    <t>PRS 455S</t>
  </si>
  <si>
    <t>PRS 510X</t>
  </si>
  <si>
    <t>PRW 29MNX</t>
  </si>
  <si>
    <t>Belleza Jumbo</t>
  </si>
  <si>
    <t>Kapasitas jumbo di kelas 2 pintu</t>
  </si>
  <si>
    <t>Merek lokal, kanal tradisional kuat</t>
  </si>
  <si>
    <t>PRW 23MNX</t>
  </si>
  <si>
    <t>PRA 18 M0W</t>
  </si>
  <si>
    <t>Panasonic</t>
  </si>
  <si>
    <t>NR-BB221Q-PK</t>
  </si>
  <si>
    <t>Prime Fresh</t>
  </si>
  <si>
    <t>Prime Fresh; Inverter</t>
  </si>
  <si>
    <t>Keluarga inti, merek Jepang</t>
  </si>
  <si>
    <t>NRTC210BUND</t>
  </si>
  <si>
    <t>Chilled Zone</t>
  </si>
  <si>
    <t>Chilled Zone; Ag Clean; Low Voltage 140V</t>
  </si>
  <si>
    <t>Area listrik tidak stabil / daya rendah</t>
  </si>
  <si>
    <t>GEA</t>
  </si>
  <si>
    <t>G2D472RINOX</t>
  </si>
  <si>
    <t>Finish Inox</t>
  </si>
  <si>
    <t>Value ekstrem, sensitif harga</t>
  </si>
  <si>
    <t>UFO Elektronika (ufoelektronika.com), akses 4-Agu-2026. Kompresor perlu dicek.</t>
  </si>
  <si>
    <t>TEMUAN UTAMA REVISI INI</t>
  </si>
  <si>
    <t>1. GROSS vs NETT TERBUKTI ADA. AQR-CSE696RSV: Electronic City &amp; Hartono mencatat 658 L, UFO mencatat 618 L untuk unit yang sama. AQR-CTD506RGC: EC 425 L, UFO 406 L. Artinya angka liter di benchmark selama ini BUKAN basis yang sama antar-channel.</t>
  </si>
  <si>
    <t>2. Selisih gross-nett bervariasi jauh: LG GC-L22FFLQB 570 gross / 427 nett = selisih 25%. Membandingkan Rp/Liter tanpa menyamakan basis bisa membuat satu merek terlihat 25% lebih murah padahal tidak.</t>
  </si>
  <si>
    <t>3. UFO SISTEMATIS LEBIH MURAH DARI ELECTRONIC CITY untuk AQUA: CTD746RAG -17,2%; DTM305RAV -14,6%; TTD546RBG(WT) -13,9%; CSE565RBC -13,4%; DTM285RAV -12,3%; CSE696RSV -11,1%. Ini pola, bukan kebetulan — perlu dibahas dengan tim trade marketing.</t>
  </si>
  <si>
    <t>4. Hartono justru SEJAJAR dengan Electronic City: AQR-CSE696RSV Rp19.129.000 di Hartono vs Rp19.119.000 di EC (selisih 0,05%). Jadi yang menyimpang adalah UFO, bukan EC.</t>
  </si>
  <si>
    <t>5. Ada 6 SKU AQUA yang dijual di UFO tapi TIDAK ADA di line-up Electronic City: AQR-TSE605RBM, AQR-CTD506RGG, AQR-DTM288CB, AQR-DTM248CB, AQR-DTM268CB, plus seluruh kelas 1 Pintu. Perlu dicek apakah ini keputusan assortment EC atau data yang belum lengkap.</t>
  </si>
  <si>
    <t>6. Lima SKU AQUA yang di EC_BENCHMARK berharga 0 kini sebagian terisi dari UFO (DTM265RAV Rp3.598.000). Sisanya masih kosong.</t>
  </si>
  <si>
    <t>KETERBATASAN YANG HARUS DISAMPAIKAN</t>
  </si>
  <si>
    <t>a. Kolom 'Basis Angka Terkonfirmasi' bernilai 'Belum' untuk mayoritas SKU — artinya angka di kolom Gross belum tentu benar-benar gross. Baru terkonfirmasi untuk sebagian AQUA dan LG.</t>
  </si>
  <si>
    <t>b. Untuk SKU dengan Nett kosong, kolom Rp per Liter memakai angka Gross sebagai pengganti. Angkanya jadi TIDAK setara antar-baris sampai kolom Nett terisi.</t>
  </si>
  <si>
    <t>c. Harga Electronic City = Juli 2026; harga UFO/Hartono = Agustus 2026. Beda bulan.</t>
  </si>
  <si>
    <t>d. Harga AQR-605IM(GB) berasal dari artikel blog Hartono tahun 2024 — sudah usang.</t>
  </si>
  <si>
    <t>e. Material pintu masih kosong untuk mayoritas SKU, termasuk hampir seluruh AQUA, karena file EC_BENCHMARK menyimpannya sebagai foto.</t>
  </si>
  <si>
    <t>f. Empat SKU AQUA 1 Pintu terdaftar di UFO tapi harganya belum terekstrak dari listing — perlu pengecekan manual.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</si>
</sst>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-#,##0;\-"/>
    <numFmt numFmtId="165" formatCode="0.0%;\-0.0%;\-"/>
  </numFmts>
  <fonts count="10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9.0"/>
      <color rgb="FF595959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2.0"/>
      <color rgb="FF1F3864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C8A"/>
        <bgColor rgb="FF2E5C8A"/>
      </patternFill>
    </fill>
    <fill>
      <patternFill patternType="solid">
        <fgColor rgb="FF1F6F6B"/>
        <bgColor rgb="FF1F6F6B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shrinkToFit="0" vertical="bottom" wrapText="0"/>
    </xf>
    <xf borderId="4" fillId="5" fontId="6" numFmtId="0" xfId="0" applyAlignment="1" applyBorder="1" applyFont="1">
      <alignment shrinkToFit="0" vertical="bottom" wrapText="0"/>
    </xf>
    <xf borderId="4" fillId="5" fontId="6" numFmtId="164" xfId="0" applyAlignment="1" applyBorder="1" applyFont="1" applyNumberFormat="1">
      <alignment horizontal="center" shrinkToFit="0" vertical="center" wrapText="1"/>
    </xf>
    <xf borderId="4" fillId="6" fontId="8" numFmtId="164" xfId="0" applyAlignment="1" applyBorder="1" applyFill="1" applyFont="1" applyNumberFormat="1">
      <alignment horizontal="center" shrinkToFit="0" vertical="center" wrapText="1"/>
    </xf>
    <xf borderId="4" fillId="6" fontId="8" numFmtId="164" xfId="0" applyAlignment="1" applyBorder="1" applyFont="1" applyNumberFormat="1">
      <alignment horizontal="right" shrinkToFit="0" vertical="center" wrapText="1"/>
    </xf>
    <xf borderId="4" fillId="7" fontId="7" numFmtId="164" xfId="0" applyAlignment="1" applyBorder="1" applyFill="1" applyFont="1" applyNumberFormat="1">
      <alignment horizontal="right" shrinkToFit="0" vertical="center" wrapText="1"/>
    </xf>
    <xf borderId="4" fillId="0" fontId="6" numFmtId="164" xfId="0" applyAlignment="1" applyBorder="1" applyFont="1" applyNumberFormat="1">
      <alignment horizontal="right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ont="1">
      <alignment shrinkToFit="0" vertical="bottom" wrapText="0"/>
    </xf>
    <xf borderId="4" fillId="6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4" fillId="5" fontId="6" numFmtId="164" xfId="0" applyAlignment="1" applyBorder="1" applyFont="1" applyNumberFormat="1">
      <alignment horizontal="right" shrinkToFit="0" vertical="center" wrapText="1"/>
    </xf>
    <xf borderId="4" fillId="6" fontId="7" numFmtId="0" xfId="0" applyAlignment="1" applyBorder="1" applyFont="1">
      <alignment shrinkToFit="0" vertical="bottom" wrapText="0"/>
    </xf>
    <xf borderId="4" fillId="6" fontId="6" numFmtId="164" xfId="0" applyAlignment="1" applyBorder="1" applyFont="1" applyNumberFormat="1">
      <alignment horizontal="center" shrinkToFit="0" vertical="center" wrapText="1"/>
    </xf>
    <xf borderId="4" fillId="6" fontId="6" numFmtId="164" xfId="0" applyAlignment="1" applyBorder="1" applyFont="1" applyNumberFormat="1">
      <alignment horizontal="right" shrinkToFit="0" vertical="center" wrapText="1"/>
    </xf>
    <xf borderId="4" fillId="6" fontId="6" numFmtId="0" xfId="0" applyAlignment="1" applyBorder="1" applyFont="1">
      <alignment shrinkToFit="0" vertical="bottom" wrapText="0"/>
    </xf>
    <xf borderId="4" fillId="6" fontId="6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shrinkToFit="0" vertical="bottom" wrapText="0"/>
    </xf>
    <xf borderId="4" fillId="7" fontId="6" numFmtId="164" xfId="0" applyAlignment="1" applyBorder="1" applyFont="1" applyNumberFormat="1">
      <alignment horizontal="center" shrinkToFit="0" vertical="center" wrapText="1"/>
    </xf>
    <xf borderId="4" fillId="7" fontId="6" numFmtId="164" xfId="0" applyAlignment="1" applyBorder="1" applyFont="1" applyNumberFormat="1">
      <alignment horizontal="right" shrinkToFit="0" vertical="center" wrapText="1"/>
    </xf>
    <xf borderId="4" fillId="7" fontId="6" numFmtId="0" xfId="0" applyAlignment="1" applyBorder="1" applyFont="1">
      <alignment shrinkToFit="0" vertical="bottom" wrapText="0"/>
    </xf>
    <xf borderId="4" fillId="7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8" fontId="7" numFmtId="0" xfId="0" applyAlignment="1" applyBorder="1" applyFill="1" applyFont="1">
      <alignment shrinkToFit="0" vertical="bottom" wrapText="0"/>
    </xf>
    <xf borderId="4" fillId="9" fontId="6" numFmtId="164" xfId="0" applyAlignment="1" applyBorder="1" applyFill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5" fontId="6" numFmtId="164" xfId="0" applyAlignment="1" applyBorder="1" applyFont="1" applyNumberFormat="1">
      <alignment horizontal="center" readingOrder="0" shrinkToFit="0" vertical="center" wrapText="1"/>
    </xf>
    <xf borderId="4" fillId="6" fontId="8" numFmtId="164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Posisi Harga vs Kapasitas — Haier, LG, Samsung (Agustus 2026)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Haier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F6F6B"/>
              </a:solidFill>
              <a:ln cmpd="sng">
                <a:solidFill>
                  <a:srgbClr val="1F6F6B"/>
                </a:solidFill>
              </a:ln>
            </c:spPr>
          </c:marker>
          <c:xVal>
            <c:numRef>
              <c:f>'Peta Harga-Kapasitas'!$B$6:$B$13</c:f>
            </c:numRef>
          </c:xVal>
          <c:yVal>
            <c:numRef>
              <c:f>'Peta Harga-Kapasitas'!$C$6:$C$13</c:f>
              <c:numCache/>
            </c:numRef>
          </c:yVal>
        </c:ser>
        <c:ser>
          <c:idx val="1"/>
          <c:order val="1"/>
          <c:tx>
            <c:v>LG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  <a:ln cmpd="sng">
                <a:solidFill>
                  <a:srgbClr val="C00000"/>
                </a:solidFill>
              </a:ln>
            </c:spPr>
          </c:marker>
          <c:xVal>
            <c:numRef>
              <c:f>'Peta Harga-Kapasitas'!$B$15:$B$18</c:f>
            </c:numRef>
          </c:xVal>
          <c:yVal>
            <c:numRef>
              <c:f>'Peta Harga-Kapasitas'!$C$15:$C$18</c:f>
              <c:numCache/>
            </c:numRef>
          </c:yVal>
        </c:ser>
        <c:ser>
          <c:idx val="2"/>
          <c:order val="2"/>
          <c:tx>
            <c:v>Samsung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2E5C8A"/>
              </a:solidFill>
              <a:ln cmpd="sng">
                <a:solidFill>
                  <a:srgbClr val="2E5C8A"/>
                </a:solidFill>
              </a:ln>
            </c:spPr>
          </c:marker>
          <c:xVal>
            <c:numRef>
              <c:f>'Peta Harga-Kapasitas'!$B$20:$B$29</c:f>
            </c:numRef>
          </c:xVal>
          <c:yVal>
            <c:numRef>
              <c:f>'Peta Harga-Kapasitas'!$C$20:$C$29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059024"/>
        <c:axId val="625327249"/>
      </c:scatterChart>
      <c:valAx>
        <c:axId val="765059024"/>
        <c:scaling>
          <c:orientation val="minMax"/>
          <c:max val="75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Kapasitas (Liter)</a:t>
                </a:r>
              </a:p>
            </c:rich>
          </c:tx>
          <c:overlay val="0"/>
        </c:title>
        <c:numFmt formatCode="#,##0;\-#,##0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25327249"/>
      </c:valAx>
      <c:valAx>
        <c:axId val="625327249"/>
        <c:scaling>
          <c:orientation val="minMax"/>
          <c:max val="3.8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Harga Rata-rata (Rp)</a:t>
                </a:r>
              </a:p>
            </c:rich>
          </c:tx>
          <c:overlay val="0"/>
        </c:title>
        <c:numFmt formatCode="#,##0;\-#,##0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5059024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8896350" cy="4695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0"/>
    <col customWidth="1" min="3" max="3" width="20.0"/>
    <col customWidth="1" min="4" max="4" width="24.0"/>
    <col customWidth="1" min="5" max="5" width="16.0"/>
    <col customWidth="1" min="6" max="6" width="14.0"/>
    <col customWidth="1" min="7" max="7" width="20.0"/>
    <col customWidth="1" min="8" max="26" width="8.71"/>
  </cols>
  <sheetData>
    <row r="1" ht="24.0" customHeight="1">
      <c r="A1" s="20" t="s">
        <v>87</v>
      </c>
      <c r="B1" s="2"/>
      <c r="C1" s="2"/>
      <c r="D1" s="2"/>
      <c r="E1" s="2"/>
      <c r="F1" s="2"/>
      <c r="G1" s="2"/>
      <c r="H1" s="3"/>
    </row>
    <row r="2" ht="15.0" customHeight="1">
      <c r="A2" s="4" t="s">
        <v>90</v>
      </c>
    </row>
    <row r="3">
      <c r="A3" s="5"/>
      <c r="B3" s="5"/>
      <c r="C3" s="5"/>
      <c r="D3" s="5"/>
      <c r="E3" s="5"/>
      <c r="F3" s="5"/>
      <c r="G3" s="5"/>
    </row>
    <row r="4" ht="15.0" customHeight="1">
      <c r="A4" s="21" t="s">
        <v>93</v>
      </c>
      <c r="B4" s="5"/>
      <c r="C4" s="5"/>
      <c r="D4" s="5"/>
      <c r="E4" s="5"/>
      <c r="F4" s="5"/>
      <c r="G4" s="5"/>
    </row>
    <row r="5" ht="33.75" customHeight="1">
      <c r="A5" s="6" t="s">
        <v>3</v>
      </c>
      <c r="B5" s="6" t="s">
        <v>94</v>
      </c>
      <c r="C5" s="6" t="s">
        <v>95</v>
      </c>
      <c r="D5" s="6" t="s">
        <v>4</v>
      </c>
      <c r="E5" s="6" t="s">
        <v>6</v>
      </c>
      <c r="F5" s="6" t="s">
        <v>96</v>
      </c>
      <c r="G5" s="5"/>
    </row>
    <row r="6" ht="15.0" customHeight="1">
      <c r="A6" s="9" t="s">
        <v>27</v>
      </c>
      <c r="B6" s="11">
        <v>502.0</v>
      </c>
      <c r="C6" s="22">
        <v>8999000.0</v>
      </c>
      <c r="D6" s="10" t="s">
        <v>65</v>
      </c>
      <c r="E6" s="8" t="s">
        <v>100</v>
      </c>
      <c r="F6" s="14">
        <f t="shared" ref="F6:F13" si="1">IFERROR($C6/$B6,"")</f>
        <v>17926.29482</v>
      </c>
      <c r="G6" s="5"/>
    </row>
    <row r="7" ht="15.0" customHeight="1">
      <c r="A7" s="9" t="s">
        <v>27</v>
      </c>
      <c r="B7" s="11">
        <v>500.0</v>
      </c>
      <c r="C7" s="22">
        <v>1.2999E7</v>
      </c>
      <c r="D7" s="10" t="s">
        <v>62</v>
      </c>
      <c r="E7" s="8" t="s">
        <v>100</v>
      </c>
      <c r="F7" s="14">
        <f t="shared" si="1"/>
        <v>25998</v>
      </c>
      <c r="G7" s="5"/>
    </row>
    <row r="8" ht="15.0" customHeight="1">
      <c r="A8" s="9" t="s">
        <v>27</v>
      </c>
      <c r="B8" s="11">
        <v>508.0</v>
      </c>
      <c r="C8" s="22">
        <v>1.8999E7</v>
      </c>
      <c r="D8" s="10" t="s">
        <v>51</v>
      </c>
      <c r="E8" s="8" t="s">
        <v>100</v>
      </c>
      <c r="F8" s="14">
        <f t="shared" si="1"/>
        <v>37399.6063</v>
      </c>
      <c r="G8" s="5"/>
    </row>
    <row r="9" ht="15.0" customHeight="1">
      <c r="A9" s="9" t="s">
        <v>27</v>
      </c>
      <c r="B9" s="11">
        <v>512.0</v>
      </c>
      <c r="C9" s="22">
        <v>2.0999E7</v>
      </c>
      <c r="D9" s="10" t="s">
        <v>45</v>
      </c>
      <c r="E9" s="8" t="s">
        <v>105</v>
      </c>
      <c r="F9" s="14">
        <f t="shared" si="1"/>
        <v>41013.67188</v>
      </c>
      <c r="G9" s="5"/>
    </row>
    <row r="10" ht="15.0" customHeight="1">
      <c r="A10" s="9" t="s">
        <v>27</v>
      </c>
      <c r="B10" s="11">
        <v>550.0</v>
      </c>
      <c r="C10" s="22">
        <v>1.6999E7</v>
      </c>
      <c r="D10" s="10" t="s">
        <v>54</v>
      </c>
      <c r="E10" s="8" t="s">
        <v>100</v>
      </c>
      <c r="F10" s="14">
        <f t="shared" si="1"/>
        <v>30907.27273</v>
      </c>
      <c r="G10" s="5"/>
    </row>
    <row r="11" ht="15.0" customHeight="1">
      <c r="A11" s="9" t="s">
        <v>27</v>
      </c>
      <c r="B11" s="11">
        <v>650.0</v>
      </c>
      <c r="C11" s="22">
        <v>3.4999E7</v>
      </c>
      <c r="D11" s="10" t="s">
        <v>28</v>
      </c>
      <c r="E11" s="8" t="s">
        <v>100</v>
      </c>
      <c r="F11" s="14">
        <f t="shared" si="1"/>
        <v>53844.61538</v>
      </c>
      <c r="G11" s="5"/>
    </row>
    <row r="12" ht="15.0" customHeight="1">
      <c r="A12" s="9" t="s">
        <v>27</v>
      </c>
      <c r="B12" s="11">
        <v>700.0</v>
      </c>
      <c r="C12" s="22">
        <v>1.7999E7</v>
      </c>
      <c r="D12" s="10" t="s">
        <v>41</v>
      </c>
      <c r="E12" s="8" t="s">
        <v>100</v>
      </c>
      <c r="F12" s="14">
        <f t="shared" si="1"/>
        <v>25712.85714</v>
      </c>
      <c r="G12" s="5"/>
    </row>
    <row r="13" ht="15.0" customHeight="1">
      <c r="A13" s="9" t="s">
        <v>27</v>
      </c>
      <c r="B13" s="11">
        <v>700.0</v>
      </c>
      <c r="C13" s="22">
        <v>2.1999E7</v>
      </c>
      <c r="D13" s="10" t="s">
        <v>37</v>
      </c>
      <c r="E13" s="8" t="s">
        <v>100</v>
      </c>
      <c r="F13" s="14">
        <f t="shared" si="1"/>
        <v>31427.14286</v>
      </c>
      <c r="G13" s="5"/>
    </row>
    <row r="14">
      <c r="A14" s="5"/>
      <c r="B14" s="5"/>
      <c r="C14" s="5"/>
      <c r="D14" s="5"/>
      <c r="E14" s="5"/>
      <c r="F14" s="5"/>
      <c r="G14" s="5"/>
    </row>
    <row r="15" ht="15.0" customHeight="1">
      <c r="A15" s="23" t="s">
        <v>110</v>
      </c>
      <c r="B15" s="24">
        <v>235.0</v>
      </c>
      <c r="C15" s="25">
        <v>4677333.0</v>
      </c>
      <c r="D15" s="26" t="s">
        <v>111</v>
      </c>
      <c r="E15" s="27" t="s">
        <v>112</v>
      </c>
      <c r="F15" s="14">
        <f t="shared" ref="F15:F18" si="2">IFERROR($C15/$B15,"")</f>
        <v>19903.54468</v>
      </c>
      <c r="G15" s="5"/>
    </row>
    <row r="16" ht="15.0" customHeight="1">
      <c r="A16" s="23" t="s">
        <v>110</v>
      </c>
      <c r="B16" s="24">
        <v>287.0</v>
      </c>
      <c r="C16" s="25">
        <v>5329000.0</v>
      </c>
      <c r="D16" s="26" t="s">
        <v>115</v>
      </c>
      <c r="E16" s="27" t="s">
        <v>112</v>
      </c>
      <c r="F16" s="14">
        <f t="shared" si="2"/>
        <v>18567.94425</v>
      </c>
      <c r="G16" s="5"/>
    </row>
    <row r="17" ht="15.0" customHeight="1">
      <c r="A17" s="23" t="s">
        <v>110</v>
      </c>
      <c r="B17" s="24">
        <v>674.0</v>
      </c>
      <c r="C17" s="25">
        <v>1.8233673E7</v>
      </c>
      <c r="D17" s="26" t="s">
        <v>116</v>
      </c>
      <c r="E17" s="27" t="s">
        <v>72</v>
      </c>
      <c r="F17" s="14">
        <f t="shared" si="2"/>
        <v>27052.9273</v>
      </c>
      <c r="G17" s="5"/>
    </row>
    <row r="18" ht="15.0" customHeight="1">
      <c r="A18" s="23" t="s">
        <v>110</v>
      </c>
      <c r="B18" s="24">
        <v>694.0</v>
      </c>
      <c r="C18" s="25">
        <v>1.2029E7</v>
      </c>
      <c r="D18" s="26" t="s">
        <v>117</v>
      </c>
      <c r="E18" s="27" t="s">
        <v>72</v>
      </c>
      <c r="F18" s="14">
        <f t="shared" si="2"/>
        <v>17332.85303</v>
      </c>
      <c r="G18" s="5"/>
    </row>
    <row r="19">
      <c r="A19" s="5"/>
      <c r="B19" s="5"/>
      <c r="C19" s="5"/>
      <c r="D19" s="5"/>
      <c r="E19" s="5"/>
      <c r="F19" s="5"/>
      <c r="G19" s="5"/>
    </row>
    <row r="20" ht="15.0" customHeight="1">
      <c r="A20" s="28" t="s">
        <v>118</v>
      </c>
      <c r="B20" s="29">
        <v>234.0</v>
      </c>
      <c r="C20" s="30">
        <v>5569000.0</v>
      </c>
      <c r="D20" s="31" t="s">
        <v>120</v>
      </c>
      <c r="E20" s="32" t="s">
        <v>112</v>
      </c>
      <c r="F20" s="14">
        <f t="shared" ref="F20:F29" si="3">IFERROR($C20/$B20,"")</f>
        <v>23799.1453</v>
      </c>
      <c r="G20" s="5"/>
    </row>
    <row r="21" ht="15.0" customHeight="1">
      <c r="A21" s="28" t="s">
        <v>118</v>
      </c>
      <c r="B21" s="29">
        <v>255.0</v>
      </c>
      <c r="C21" s="30">
        <v>6539000.0</v>
      </c>
      <c r="D21" s="31" t="s">
        <v>123</v>
      </c>
      <c r="E21" s="32" t="s">
        <v>112</v>
      </c>
      <c r="F21" s="14">
        <f t="shared" si="3"/>
        <v>25643.13725</v>
      </c>
      <c r="G21" s="5"/>
    </row>
    <row r="22" ht="15.0" customHeight="1">
      <c r="A22" s="28" t="s">
        <v>118</v>
      </c>
      <c r="B22" s="29">
        <v>348.0</v>
      </c>
      <c r="C22" s="30">
        <v>7570408.0</v>
      </c>
      <c r="D22" s="31" t="s">
        <v>125</v>
      </c>
      <c r="E22" s="32" t="s">
        <v>112</v>
      </c>
      <c r="F22" s="14">
        <f t="shared" si="3"/>
        <v>21754.04598</v>
      </c>
      <c r="G22" s="5"/>
    </row>
    <row r="23" ht="15.0" customHeight="1">
      <c r="A23" s="28" t="s">
        <v>118</v>
      </c>
      <c r="B23" s="29">
        <v>393.0</v>
      </c>
      <c r="C23" s="30">
        <v>8294898.0</v>
      </c>
      <c r="D23" s="31" t="s">
        <v>127</v>
      </c>
      <c r="E23" s="32" t="s">
        <v>112</v>
      </c>
      <c r="F23" s="14">
        <f t="shared" si="3"/>
        <v>21106.61069</v>
      </c>
      <c r="G23" s="5"/>
    </row>
    <row r="24" ht="15.0" customHeight="1">
      <c r="A24" s="28" t="s">
        <v>118</v>
      </c>
      <c r="B24" s="29">
        <v>393.0</v>
      </c>
      <c r="C24" s="30">
        <v>8866326.0</v>
      </c>
      <c r="D24" s="31" t="s">
        <v>128</v>
      </c>
      <c r="E24" s="32" t="s">
        <v>112</v>
      </c>
      <c r="F24" s="14">
        <f t="shared" si="3"/>
        <v>22560.62595</v>
      </c>
      <c r="G24" s="5"/>
    </row>
    <row r="25" ht="15.0" customHeight="1">
      <c r="A25" s="28" t="s">
        <v>118</v>
      </c>
      <c r="B25" s="29">
        <v>511.0</v>
      </c>
      <c r="C25" s="30">
        <v>1.4099E7</v>
      </c>
      <c r="D25" s="31" t="s">
        <v>129</v>
      </c>
      <c r="E25" s="32" t="s">
        <v>100</v>
      </c>
      <c r="F25" s="14">
        <f t="shared" si="3"/>
        <v>27590.99804</v>
      </c>
      <c r="G25" s="5"/>
    </row>
    <row r="26" ht="15.0" customHeight="1">
      <c r="A26" s="28" t="s">
        <v>118</v>
      </c>
      <c r="B26" s="29">
        <v>570.0</v>
      </c>
      <c r="C26" s="30">
        <v>1.0249E7</v>
      </c>
      <c r="D26" s="31" t="s">
        <v>130</v>
      </c>
      <c r="E26" s="32" t="s">
        <v>72</v>
      </c>
      <c r="F26" s="14">
        <f t="shared" si="3"/>
        <v>17980.70175</v>
      </c>
      <c r="G26" s="5"/>
    </row>
    <row r="27" ht="15.0" customHeight="1">
      <c r="A27" s="28" t="s">
        <v>118</v>
      </c>
      <c r="B27" s="29">
        <v>641.0</v>
      </c>
      <c r="C27" s="30">
        <v>3.0E7</v>
      </c>
      <c r="D27" s="31" t="s">
        <v>134</v>
      </c>
      <c r="E27" s="32" t="s">
        <v>72</v>
      </c>
      <c r="F27" s="14">
        <f t="shared" si="3"/>
        <v>46801.87207</v>
      </c>
      <c r="G27" s="5"/>
    </row>
    <row r="28" ht="15.0" customHeight="1">
      <c r="A28" s="28" t="s">
        <v>118</v>
      </c>
      <c r="B28" s="29">
        <v>660.0</v>
      </c>
      <c r="C28" s="30">
        <v>1.7799E7</v>
      </c>
      <c r="D28" s="31" t="s">
        <v>135</v>
      </c>
      <c r="E28" s="32" t="s">
        <v>72</v>
      </c>
      <c r="F28" s="14">
        <f t="shared" si="3"/>
        <v>26968.18182</v>
      </c>
      <c r="G28" s="5"/>
    </row>
    <row r="29" ht="15.0" customHeight="1">
      <c r="A29" s="28" t="s">
        <v>118</v>
      </c>
      <c r="B29" s="29">
        <v>680.0</v>
      </c>
      <c r="C29" s="30">
        <v>1.4099E7</v>
      </c>
      <c r="D29" s="31" t="s">
        <v>136</v>
      </c>
      <c r="E29" s="32" t="s">
        <v>72</v>
      </c>
      <c r="F29" s="14">
        <f t="shared" si="3"/>
        <v>20733.82353</v>
      </c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0" customHeight="1">
      <c r="A32" s="21" t="s">
        <v>138</v>
      </c>
      <c r="B32" s="5"/>
      <c r="C32" s="5"/>
      <c r="D32" s="5"/>
      <c r="E32" s="5"/>
      <c r="F32" s="5"/>
      <c r="G32" s="5"/>
    </row>
    <row r="33" ht="15.0" customHeight="1">
      <c r="A33" s="4" t="s">
        <v>141</v>
      </c>
    </row>
    <row r="34" ht="31.5" customHeight="1">
      <c r="A34" s="6" t="s">
        <v>3</v>
      </c>
      <c r="B34" s="6" t="s">
        <v>4</v>
      </c>
      <c r="C34" s="6" t="s">
        <v>6</v>
      </c>
      <c r="D34" s="6" t="s">
        <v>142</v>
      </c>
      <c r="E34" s="6" t="s">
        <v>143</v>
      </c>
      <c r="F34" s="6" t="s">
        <v>96</v>
      </c>
      <c r="G34" s="6" t="s">
        <v>144</v>
      </c>
    </row>
    <row r="35" ht="15.0" customHeight="1">
      <c r="A35" s="9" t="s">
        <v>27</v>
      </c>
      <c r="B35" s="10" t="s">
        <v>28</v>
      </c>
      <c r="C35" s="8" t="s">
        <v>100</v>
      </c>
      <c r="D35" s="11">
        <v>650.0</v>
      </c>
      <c r="E35" s="22">
        <v>3.4999E7</v>
      </c>
      <c r="F35" s="14">
        <f t="shared" ref="F35:F42" si="4">IFERROR($E35/$D35,"")</f>
        <v>53844.61538</v>
      </c>
      <c r="G35" s="16">
        <f t="shared" ref="G35:G42" si="5">IFERROR($E35/MIN($E$35:$E$42)-1,"")</f>
        <v>1.909551916</v>
      </c>
    </row>
    <row r="36" ht="15.0" customHeight="1">
      <c r="A36" s="33" t="s">
        <v>118</v>
      </c>
      <c r="B36" s="34" t="s">
        <v>134</v>
      </c>
      <c r="C36" s="35" t="s">
        <v>72</v>
      </c>
      <c r="D36" s="17">
        <v>641.0</v>
      </c>
      <c r="E36" s="15">
        <v>3.0E7</v>
      </c>
      <c r="F36" s="14">
        <f t="shared" si="4"/>
        <v>46801.87207</v>
      </c>
      <c r="G36" s="16">
        <f t="shared" si="5"/>
        <v>1.493972899</v>
      </c>
    </row>
    <row r="37" ht="15.0" customHeight="1">
      <c r="A37" s="9" t="s">
        <v>27</v>
      </c>
      <c r="B37" s="10" t="s">
        <v>37</v>
      </c>
      <c r="C37" s="8" t="s">
        <v>100</v>
      </c>
      <c r="D37" s="11">
        <v>700.0</v>
      </c>
      <c r="E37" s="22">
        <v>2.1999E7</v>
      </c>
      <c r="F37" s="14">
        <f t="shared" si="4"/>
        <v>31427.14286</v>
      </c>
      <c r="G37" s="16">
        <f t="shared" si="5"/>
        <v>0.8288303267</v>
      </c>
    </row>
    <row r="38" ht="15.0" customHeight="1">
      <c r="A38" s="33" t="s">
        <v>110</v>
      </c>
      <c r="B38" s="34" t="s">
        <v>116</v>
      </c>
      <c r="C38" s="35" t="s">
        <v>72</v>
      </c>
      <c r="D38" s="17">
        <v>674.0</v>
      </c>
      <c r="E38" s="15">
        <v>1.8233673E7</v>
      </c>
      <c r="F38" s="14">
        <f t="shared" si="4"/>
        <v>27052.9273</v>
      </c>
      <c r="G38" s="16">
        <f t="shared" si="5"/>
        <v>0.5158095436</v>
      </c>
    </row>
    <row r="39" ht="15.0" customHeight="1">
      <c r="A39" s="9" t="s">
        <v>27</v>
      </c>
      <c r="B39" s="10" t="s">
        <v>41</v>
      </c>
      <c r="C39" s="8" t="s">
        <v>100</v>
      </c>
      <c r="D39" s="11">
        <v>700.0</v>
      </c>
      <c r="E39" s="22">
        <v>1.7999E7</v>
      </c>
      <c r="F39" s="14">
        <f t="shared" si="4"/>
        <v>25712.85714</v>
      </c>
      <c r="G39" s="16">
        <f t="shared" si="5"/>
        <v>0.4963006069</v>
      </c>
    </row>
    <row r="40" ht="15.0" customHeight="1">
      <c r="A40" s="33" t="s">
        <v>118</v>
      </c>
      <c r="B40" s="34" t="s">
        <v>135</v>
      </c>
      <c r="C40" s="35" t="s">
        <v>72</v>
      </c>
      <c r="D40" s="17">
        <v>660.0</v>
      </c>
      <c r="E40" s="15">
        <v>1.7799E7</v>
      </c>
      <c r="F40" s="14">
        <f t="shared" si="4"/>
        <v>26968.18182</v>
      </c>
      <c r="G40" s="16">
        <f t="shared" si="5"/>
        <v>0.4796741209</v>
      </c>
    </row>
    <row r="41" ht="15.0" customHeight="1">
      <c r="A41" s="33" t="s">
        <v>118</v>
      </c>
      <c r="B41" s="34" t="s">
        <v>136</v>
      </c>
      <c r="C41" s="35" t="s">
        <v>72</v>
      </c>
      <c r="D41" s="17">
        <v>680.0</v>
      </c>
      <c r="E41" s="15">
        <v>1.4099E7</v>
      </c>
      <c r="F41" s="14">
        <f t="shared" si="4"/>
        <v>20733.82353</v>
      </c>
      <c r="G41" s="16">
        <f t="shared" si="5"/>
        <v>0.17208413</v>
      </c>
    </row>
    <row r="42" ht="15.0" customHeight="1">
      <c r="A42" s="33" t="s">
        <v>110</v>
      </c>
      <c r="B42" s="34" t="s">
        <v>117</v>
      </c>
      <c r="C42" s="35" t="s">
        <v>72</v>
      </c>
      <c r="D42" s="17">
        <v>694.0</v>
      </c>
      <c r="E42" s="15">
        <v>1.2029E7</v>
      </c>
      <c r="F42" s="14">
        <f t="shared" si="4"/>
        <v>17332.85303</v>
      </c>
      <c r="G42" s="16">
        <f t="shared" si="5"/>
        <v>0</v>
      </c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0" customHeight="1">
      <c r="A45" s="21" t="s">
        <v>161</v>
      </c>
      <c r="B45" s="5"/>
      <c r="C45" s="5"/>
      <c r="D45" s="5"/>
      <c r="E45" s="5"/>
      <c r="F45" s="5"/>
      <c r="G45" s="5"/>
    </row>
    <row r="46" ht="15.0" customHeight="1">
      <c r="A46" s="4" t="s">
        <v>162</v>
      </c>
    </row>
    <row r="47" ht="23.25" customHeight="1">
      <c r="A47" s="6" t="s">
        <v>163</v>
      </c>
      <c r="B47" s="6" t="s">
        <v>27</v>
      </c>
      <c r="C47" s="6" t="s">
        <v>110</v>
      </c>
      <c r="D47" s="6" t="s">
        <v>118</v>
      </c>
      <c r="E47" s="36" t="s">
        <v>164</v>
      </c>
      <c r="F47" s="37"/>
      <c r="G47" s="38"/>
    </row>
    <row r="48" ht="15.0" customHeight="1">
      <c r="A48" s="39" t="s">
        <v>167</v>
      </c>
      <c r="B48" s="40"/>
      <c r="C48" s="17">
        <v>1.0</v>
      </c>
      <c r="D48" s="17">
        <v>1.0</v>
      </c>
      <c r="E48" s="15">
        <v>4677333.0</v>
      </c>
      <c r="F48" s="41" t="s">
        <v>169</v>
      </c>
      <c r="G48" s="15">
        <v>5569000.0</v>
      </c>
    </row>
    <row r="49" ht="15.0" customHeight="1">
      <c r="A49" s="39" t="s">
        <v>170</v>
      </c>
      <c r="B49" s="40"/>
      <c r="C49" s="17">
        <v>1.0</v>
      </c>
      <c r="D49" s="17">
        <v>1.0</v>
      </c>
      <c r="E49" s="15">
        <v>5329000.0</v>
      </c>
      <c r="F49" s="41" t="s">
        <v>169</v>
      </c>
      <c r="G49" s="15">
        <v>6539000.0</v>
      </c>
    </row>
    <row r="50" ht="15.0" customHeight="1">
      <c r="A50" s="39" t="s">
        <v>171</v>
      </c>
      <c r="B50" s="40"/>
      <c r="C50" s="40"/>
      <c r="D50" s="17">
        <v>1.0</v>
      </c>
      <c r="E50" s="15">
        <v>7570408.0</v>
      </c>
      <c r="F50" s="41" t="s">
        <v>169</v>
      </c>
      <c r="G50" s="15">
        <v>7570408.0</v>
      </c>
    </row>
    <row r="51" ht="15.0" customHeight="1">
      <c r="A51" s="39" t="s">
        <v>172</v>
      </c>
      <c r="B51" s="40"/>
      <c r="C51" s="40"/>
      <c r="D51" s="17">
        <v>2.0</v>
      </c>
      <c r="E51" s="15">
        <v>8294898.0</v>
      </c>
      <c r="F51" s="41" t="s">
        <v>169</v>
      </c>
      <c r="G51" s="15">
        <v>8866326.0</v>
      </c>
    </row>
    <row r="52" ht="15.0" customHeight="1">
      <c r="A52" s="39" t="s">
        <v>176</v>
      </c>
      <c r="B52" s="40"/>
      <c r="C52" s="40"/>
      <c r="D52" s="40"/>
      <c r="E52" s="15"/>
      <c r="F52" s="41"/>
      <c r="G52" s="15"/>
    </row>
    <row r="53" ht="15.0" customHeight="1">
      <c r="A53" s="39" t="s">
        <v>178</v>
      </c>
      <c r="B53" s="40"/>
      <c r="C53" s="40"/>
      <c r="D53" s="40"/>
      <c r="E53" s="15"/>
      <c r="F53" s="41"/>
      <c r="G53" s="15"/>
    </row>
    <row r="54" ht="15.0" customHeight="1">
      <c r="A54" s="39" t="s">
        <v>179</v>
      </c>
      <c r="B54" s="17">
        <v>4.0</v>
      </c>
      <c r="C54" s="40"/>
      <c r="D54" s="17">
        <v>1.0</v>
      </c>
      <c r="E54" s="15">
        <v>8999000.0</v>
      </c>
      <c r="F54" s="41" t="s">
        <v>169</v>
      </c>
      <c r="G54" s="15">
        <v>2.0999E7</v>
      </c>
    </row>
    <row r="55" ht="15.0" customHeight="1">
      <c r="A55" s="39" t="s">
        <v>180</v>
      </c>
      <c r="B55" s="17">
        <v>1.0</v>
      </c>
      <c r="C55" s="40"/>
      <c r="D55" s="17">
        <v>1.0</v>
      </c>
      <c r="E55" s="15">
        <v>1.0249E7</v>
      </c>
      <c r="F55" s="41" t="s">
        <v>169</v>
      </c>
      <c r="G55" s="15">
        <v>1.6999E7</v>
      </c>
    </row>
    <row r="56" ht="15.0" customHeight="1">
      <c r="A56" s="39" t="s">
        <v>184</v>
      </c>
      <c r="B56" s="40"/>
      <c r="C56" s="40"/>
      <c r="D56" s="17">
        <v>1.0</v>
      </c>
      <c r="E56" s="15">
        <v>3.0E7</v>
      </c>
      <c r="F56" s="41" t="s">
        <v>169</v>
      </c>
      <c r="G56" s="15">
        <v>3.0E7</v>
      </c>
    </row>
    <row r="57" ht="15.0" customHeight="1">
      <c r="A57" s="39" t="s">
        <v>186</v>
      </c>
      <c r="B57" s="17">
        <v>1.0</v>
      </c>
      <c r="C57" s="17">
        <v>2.0</v>
      </c>
      <c r="D57" s="17">
        <v>2.0</v>
      </c>
      <c r="E57" s="15">
        <v>1.2029E7</v>
      </c>
      <c r="F57" s="41" t="s">
        <v>169</v>
      </c>
      <c r="G57" s="15">
        <v>3.4999E7</v>
      </c>
    </row>
    <row r="58" ht="15.0" customHeight="1">
      <c r="A58" s="39" t="s">
        <v>188</v>
      </c>
      <c r="B58" s="17">
        <v>2.0</v>
      </c>
      <c r="C58" s="40"/>
      <c r="D58" s="40"/>
      <c r="E58" s="15">
        <v>1.7999E7</v>
      </c>
      <c r="F58" s="41" t="s">
        <v>169</v>
      </c>
      <c r="G58" s="15">
        <v>2.1999E7</v>
      </c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0" customHeight="1">
      <c r="A61" s="21" t="s">
        <v>189</v>
      </c>
      <c r="B61" s="5"/>
      <c r="C61" s="5"/>
      <c r="D61" s="5"/>
      <c r="E61" s="5"/>
      <c r="F61" s="5"/>
      <c r="G61" s="5"/>
    </row>
    <row r="62" ht="15.0" customHeight="1">
      <c r="A62" s="4" t="s">
        <v>191</v>
      </c>
    </row>
    <row r="63" ht="15.0" customHeight="1">
      <c r="A63" s="4" t="s">
        <v>193</v>
      </c>
    </row>
    <row r="64" ht="15.0" customHeight="1">
      <c r="A64" s="4" t="s">
        <v>194</v>
      </c>
    </row>
    <row r="65" ht="15.0" customHeight="1">
      <c r="A65" s="4" t="s">
        <v>195</v>
      </c>
    </row>
    <row r="66" ht="15.0" customHeight="1">
      <c r="A66" s="4" t="s">
        <v>196</v>
      </c>
    </row>
    <row r="67" ht="15.0" customHeight="1">
      <c r="A67" s="4"/>
    </row>
    <row r="68" ht="15.0" customHeight="1">
      <c r="A68" s="21" t="s">
        <v>197</v>
      </c>
    </row>
    <row r="69" ht="15.0" customHeight="1">
      <c r="A69" s="4" t="s">
        <v>198</v>
      </c>
    </row>
    <row r="70" ht="15.0" customHeight="1">
      <c r="A70" s="4" t="s">
        <v>199</v>
      </c>
    </row>
    <row r="71" ht="15.0" customHeight="1">
      <c r="A71" s="4" t="s">
        <v>201</v>
      </c>
    </row>
    <row r="72" ht="15.0" customHeight="1">
      <c r="A72" s="4" t="s">
        <v>202</v>
      </c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16">
    <mergeCell ref="A1:H1"/>
    <mergeCell ref="A2:H2"/>
    <mergeCell ref="A33:G33"/>
    <mergeCell ref="A46:G46"/>
    <mergeCell ref="E47:G47"/>
    <mergeCell ref="A62:G62"/>
    <mergeCell ref="A63:G63"/>
    <mergeCell ref="A71:G71"/>
    <mergeCell ref="A72:G72"/>
    <mergeCell ref="A64:G64"/>
    <mergeCell ref="A65:G65"/>
    <mergeCell ref="A66:G66"/>
    <mergeCell ref="A67:G67"/>
    <mergeCell ref="A68:G68"/>
    <mergeCell ref="A69:G69"/>
    <mergeCell ref="A70:G70"/>
  </mergeCells>
  <conditionalFormatting sqref="G35:G42">
    <cfRule type="cellIs" dxfId="0" priority="1" operator="greaterThan">
      <formula>0.5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4.0"/>
    <col customWidth="1" min="4" max="5" width="20.0"/>
    <col customWidth="1" min="6" max="7" width="11.0"/>
    <col customWidth="1" min="8" max="8" width="12.0"/>
    <col customWidth="1" min="9" max="9" width="16.0"/>
    <col customWidth="1" min="10" max="10" width="32.0"/>
    <col customWidth="1" min="11" max="11" width="28.0"/>
    <col customWidth="1" min="12" max="13" width="16.0"/>
    <col customWidth="1" min="14" max="14" width="15.0"/>
    <col customWidth="1" min="15" max="16" width="16.0"/>
    <col customWidth="1" min="17" max="18" width="15.0"/>
    <col customWidth="1" min="19" max="20" width="14.0"/>
    <col customWidth="1" min="21" max="21" width="11.0"/>
    <col customWidth="1" min="22" max="22" width="9.0"/>
    <col customWidth="1" min="23" max="23" width="12.0"/>
    <col customWidth="1" min="24" max="24" width="13.0"/>
    <col customWidth="1" min="25" max="25" width="60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5.0" customHeight="1">
      <c r="A2" s="4" t="s">
        <v>1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48.0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7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7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7" t="s">
        <v>24</v>
      </c>
      <c r="X4" s="6" t="s">
        <v>25</v>
      </c>
      <c r="Y4" s="6" t="s">
        <v>26</v>
      </c>
    </row>
    <row r="5" ht="15.0" hidden="1" customHeight="1">
      <c r="A5" s="8">
        <v>1.0</v>
      </c>
      <c r="B5" s="9" t="s">
        <v>27</v>
      </c>
      <c r="C5" s="10" t="s">
        <v>28</v>
      </c>
      <c r="D5" s="10" t="s">
        <v>29</v>
      </c>
      <c r="E5" s="10" t="s">
        <v>30</v>
      </c>
      <c r="F5" s="11">
        <v>650.0</v>
      </c>
      <c r="G5" s="12"/>
      <c r="H5" s="8" t="s">
        <v>31</v>
      </c>
      <c r="I5" s="8" t="s">
        <v>32</v>
      </c>
      <c r="J5" s="10" t="s">
        <v>33</v>
      </c>
      <c r="K5" s="10" t="s">
        <v>34</v>
      </c>
      <c r="L5" s="13"/>
      <c r="M5" s="13">
        <v>3.4999E7</v>
      </c>
      <c r="N5" s="13"/>
      <c r="O5" s="13"/>
      <c r="P5" s="13"/>
      <c r="Q5" s="13"/>
      <c r="R5" s="14">
        <f t="shared" ref="R5:R106" si="1">IFERROR(AVERAGE($L5:$Q5),"")</f>
        <v>34999000</v>
      </c>
      <c r="S5" s="15">
        <f t="shared" ref="S5:S106" si="2">IF(COUNT($L5:$Q5)=0,"",MIN($L5:$Q5))</f>
        <v>34999000</v>
      </c>
      <c r="T5" s="15">
        <f t="shared" ref="T5:T106" si="3">IF(COUNT($L5:$Q5)=0,"",MAX($L5:$Q5))</f>
        <v>34999000</v>
      </c>
      <c r="U5" s="16">
        <f t="shared" ref="U5:U106" si="4">IFERROR(($T5-$S5)/$S5,"")</f>
        <v>0</v>
      </c>
      <c r="V5" s="17">
        <f t="shared" ref="V5:V106" si="5">COUNT($L5:$Q5)</f>
        <v>1</v>
      </c>
      <c r="W5" s="14">
        <f t="shared" ref="W5:W106" si="6">IFERROR($R5/IF($G5&lt;&gt;"",$G5,$F5),"")</f>
        <v>53844.61538</v>
      </c>
      <c r="X5" s="8" t="s">
        <v>35</v>
      </c>
      <c r="Y5" s="18" t="s">
        <v>36</v>
      </c>
    </row>
    <row r="6" ht="15.0" hidden="1" customHeight="1">
      <c r="A6" s="8">
        <v>2.0</v>
      </c>
      <c r="B6" s="9" t="s">
        <v>27</v>
      </c>
      <c r="C6" s="10" t="s">
        <v>37</v>
      </c>
      <c r="D6" s="10" t="s">
        <v>29</v>
      </c>
      <c r="E6" s="10" t="s">
        <v>30</v>
      </c>
      <c r="F6" s="11">
        <v>700.0</v>
      </c>
      <c r="G6" s="12"/>
      <c r="H6" s="8" t="s">
        <v>31</v>
      </c>
      <c r="I6" s="8" t="s">
        <v>32</v>
      </c>
      <c r="J6" s="10" t="s">
        <v>38</v>
      </c>
      <c r="K6" s="10" t="s">
        <v>39</v>
      </c>
      <c r="L6" s="13"/>
      <c r="M6" s="13">
        <v>2.1999E7</v>
      </c>
      <c r="N6" s="13"/>
      <c r="O6" s="13"/>
      <c r="P6" s="13"/>
      <c r="Q6" s="13"/>
      <c r="R6" s="14">
        <f t="shared" si="1"/>
        <v>21999000</v>
      </c>
      <c r="S6" s="15">
        <f t="shared" si="2"/>
        <v>21999000</v>
      </c>
      <c r="T6" s="15">
        <f t="shared" si="3"/>
        <v>21999000</v>
      </c>
      <c r="U6" s="16">
        <f t="shared" si="4"/>
        <v>0</v>
      </c>
      <c r="V6" s="17">
        <f t="shared" si="5"/>
        <v>1</v>
      </c>
      <c r="W6" s="14">
        <f t="shared" si="6"/>
        <v>31427.14286</v>
      </c>
      <c r="X6" s="8" t="s">
        <v>35</v>
      </c>
      <c r="Y6" s="18" t="s">
        <v>40</v>
      </c>
    </row>
    <row r="7" ht="15.0" hidden="1" customHeight="1">
      <c r="A7" s="8">
        <v>3.0</v>
      </c>
      <c r="B7" s="9" t="s">
        <v>27</v>
      </c>
      <c r="C7" s="10" t="s">
        <v>41</v>
      </c>
      <c r="D7" s="10" t="s">
        <v>29</v>
      </c>
      <c r="E7" s="10" t="s">
        <v>30</v>
      </c>
      <c r="F7" s="11">
        <v>700.0</v>
      </c>
      <c r="G7" s="12"/>
      <c r="H7" s="8" t="s">
        <v>31</v>
      </c>
      <c r="I7" s="8" t="s">
        <v>32</v>
      </c>
      <c r="J7" s="10" t="s">
        <v>42</v>
      </c>
      <c r="K7" s="10" t="s">
        <v>43</v>
      </c>
      <c r="L7" s="13"/>
      <c r="M7" s="13">
        <v>1.7999E7</v>
      </c>
      <c r="N7" s="13"/>
      <c r="O7" s="13"/>
      <c r="P7" s="13"/>
      <c r="Q7" s="13"/>
      <c r="R7" s="14">
        <f t="shared" si="1"/>
        <v>17999000</v>
      </c>
      <c r="S7" s="15">
        <f t="shared" si="2"/>
        <v>17999000</v>
      </c>
      <c r="T7" s="15">
        <f t="shared" si="3"/>
        <v>17999000</v>
      </c>
      <c r="U7" s="16">
        <f t="shared" si="4"/>
        <v>0</v>
      </c>
      <c r="V7" s="17">
        <f t="shared" si="5"/>
        <v>1</v>
      </c>
      <c r="W7" s="14">
        <f t="shared" si="6"/>
        <v>25712.85714</v>
      </c>
      <c r="X7" s="8" t="s">
        <v>35</v>
      </c>
      <c r="Y7" s="18" t="s">
        <v>44</v>
      </c>
    </row>
    <row r="8" ht="15.0" hidden="1" customHeight="1">
      <c r="A8" s="8">
        <v>4.0</v>
      </c>
      <c r="B8" s="9" t="s">
        <v>27</v>
      </c>
      <c r="C8" s="10" t="s">
        <v>45</v>
      </c>
      <c r="D8" s="10" t="s">
        <v>46</v>
      </c>
      <c r="E8" s="10" t="s">
        <v>47</v>
      </c>
      <c r="F8" s="11">
        <v>512.0</v>
      </c>
      <c r="G8" s="12"/>
      <c r="H8" s="8" t="s">
        <v>31</v>
      </c>
      <c r="I8" s="8" t="s">
        <v>32</v>
      </c>
      <c r="J8" s="10" t="s">
        <v>48</v>
      </c>
      <c r="K8" s="10" t="s">
        <v>49</v>
      </c>
      <c r="L8" s="13"/>
      <c r="M8" s="13">
        <v>2.0999E7</v>
      </c>
      <c r="N8" s="13"/>
      <c r="O8" s="13"/>
      <c r="P8" s="13"/>
      <c r="Q8" s="13"/>
      <c r="R8" s="14">
        <f t="shared" si="1"/>
        <v>20999000</v>
      </c>
      <c r="S8" s="15">
        <f t="shared" si="2"/>
        <v>20999000</v>
      </c>
      <c r="T8" s="15">
        <f t="shared" si="3"/>
        <v>20999000</v>
      </c>
      <c r="U8" s="16">
        <f t="shared" si="4"/>
        <v>0</v>
      </c>
      <c r="V8" s="17">
        <f t="shared" si="5"/>
        <v>1</v>
      </c>
      <c r="W8" s="14">
        <f t="shared" si="6"/>
        <v>41013.67188</v>
      </c>
      <c r="X8" s="8" t="s">
        <v>35</v>
      </c>
      <c r="Y8" s="18" t="s">
        <v>50</v>
      </c>
    </row>
    <row r="9" ht="15.0" hidden="1" customHeight="1">
      <c r="A9" s="8">
        <v>5.0</v>
      </c>
      <c r="B9" s="9" t="s">
        <v>27</v>
      </c>
      <c r="C9" s="10" t="s">
        <v>51</v>
      </c>
      <c r="D9" s="10" t="s">
        <v>46</v>
      </c>
      <c r="E9" s="10" t="s">
        <v>30</v>
      </c>
      <c r="F9" s="11">
        <v>508.0</v>
      </c>
      <c r="G9" s="12"/>
      <c r="H9" s="8" t="s">
        <v>31</v>
      </c>
      <c r="I9" s="8" t="s">
        <v>32</v>
      </c>
      <c r="J9" s="10" t="s">
        <v>52</v>
      </c>
      <c r="K9" s="10" t="s">
        <v>53</v>
      </c>
      <c r="L9" s="13"/>
      <c r="M9" s="13">
        <v>1.8999E7</v>
      </c>
      <c r="N9" s="13"/>
      <c r="O9" s="13"/>
      <c r="P9" s="13"/>
      <c r="Q9" s="13"/>
      <c r="R9" s="14">
        <f t="shared" si="1"/>
        <v>18999000</v>
      </c>
      <c r="S9" s="15">
        <f t="shared" si="2"/>
        <v>18999000</v>
      </c>
      <c r="T9" s="15">
        <f t="shared" si="3"/>
        <v>18999000</v>
      </c>
      <c r="U9" s="16">
        <f t="shared" si="4"/>
        <v>0</v>
      </c>
      <c r="V9" s="17">
        <f t="shared" si="5"/>
        <v>1</v>
      </c>
      <c r="W9" s="14">
        <f t="shared" si="6"/>
        <v>37399.6063</v>
      </c>
      <c r="X9" s="8" t="s">
        <v>35</v>
      </c>
      <c r="Y9" s="18" t="s">
        <v>50</v>
      </c>
    </row>
    <row r="10" ht="15.0" hidden="1" customHeight="1">
      <c r="A10" s="8">
        <v>6.0</v>
      </c>
      <c r="B10" s="9" t="s">
        <v>27</v>
      </c>
      <c r="C10" s="10" t="s">
        <v>54</v>
      </c>
      <c r="D10" s="10" t="s">
        <v>55</v>
      </c>
      <c r="E10" s="10" t="s">
        <v>30</v>
      </c>
      <c r="F10" s="11">
        <v>550.0</v>
      </c>
      <c r="G10" s="12"/>
      <c r="H10" s="8" t="s">
        <v>56</v>
      </c>
      <c r="I10" s="8" t="s">
        <v>32</v>
      </c>
      <c r="J10" s="10" t="s">
        <v>57</v>
      </c>
      <c r="K10" s="10" t="s">
        <v>58</v>
      </c>
      <c r="L10" s="13"/>
      <c r="M10" s="13">
        <v>1.6999E7</v>
      </c>
      <c r="N10" s="13"/>
      <c r="O10" s="13"/>
      <c r="P10" s="13"/>
      <c r="Q10" s="13"/>
      <c r="R10" s="14">
        <f t="shared" si="1"/>
        <v>16999000</v>
      </c>
      <c r="S10" s="15">
        <f t="shared" si="2"/>
        <v>16999000</v>
      </c>
      <c r="T10" s="15">
        <f t="shared" si="3"/>
        <v>16999000</v>
      </c>
      <c r="U10" s="16">
        <f t="shared" si="4"/>
        <v>0</v>
      </c>
      <c r="V10" s="17">
        <f t="shared" si="5"/>
        <v>1</v>
      </c>
      <c r="W10" s="14">
        <f t="shared" si="6"/>
        <v>30907.27273</v>
      </c>
      <c r="X10" s="8" t="s">
        <v>35</v>
      </c>
      <c r="Y10" s="18" t="s">
        <v>50</v>
      </c>
    </row>
    <row r="11" ht="15.0" hidden="1" customHeight="1">
      <c r="A11" s="8">
        <v>7.0</v>
      </c>
      <c r="B11" s="9" t="s">
        <v>27</v>
      </c>
      <c r="C11" s="10" t="s">
        <v>59</v>
      </c>
      <c r="D11" s="10" t="s">
        <v>55</v>
      </c>
      <c r="E11" s="10" t="s">
        <v>30</v>
      </c>
      <c r="F11" s="11">
        <v>550.0</v>
      </c>
      <c r="G11" s="12"/>
      <c r="H11" s="8" t="s">
        <v>31</v>
      </c>
      <c r="I11" s="8" t="s">
        <v>32</v>
      </c>
      <c r="J11" s="10" t="s">
        <v>60</v>
      </c>
      <c r="K11" s="10" t="s">
        <v>58</v>
      </c>
      <c r="L11" s="13"/>
      <c r="M11" s="13"/>
      <c r="N11" s="13"/>
      <c r="O11" s="13"/>
      <c r="P11" s="13"/>
      <c r="Q11" s="13"/>
      <c r="R11" s="14" t="str">
        <f t="shared" si="1"/>
        <v/>
      </c>
      <c r="S11" s="15" t="str">
        <f t="shared" si="2"/>
        <v/>
      </c>
      <c r="T11" s="15" t="str">
        <f t="shared" si="3"/>
        <v/>
      </c>
      <c r="U11" s="16" t="str">
        <f t="shared" si="4"/>
        <v/>
      </c>
      <c r="V11" s="17">
        <f t="shared" si="5"/>
        <v>0</v>
      </c>
      <c r="W11" s="14">
        <f t="shared" si="6"/>
        <v>0</v>
      </c>
      <c r="X11" s="8" t="s">
        <v>35</v>
      </c>
      <c r="Y11" s="18" t="s">
        <v>61</v>
      </c>
    </row>
    <row r="12" ht="15.0" hidden="1" customHeight="1">
      <c r="A12" s="8">
        <v>8.0</v>
      </c>
      <c r="B12" s="9" t="s">
        <v>27</v>
      </c>
      <c r="C12" s="10" t="s">
        <v>62</v>
      </c>
      <c r="D12" s="10" t="s">
        <v>55</v>
      </c>
      <c r="E12" s="10" t="s">
        <v>30</v>
      </c>
      <c r="F12" s="11">
        <v>500.0</v>
      </c>
      <c r="G12" s="12"/>
      <c r="H12" s="8" t="s">
        <v>31</v>
      </c>
      <c r="I12" s="8" t="s">
        <v>32</v>
      </c>
      <c r="J12" s="10" t="s">
        <v>63</v>
      </c>
      <c r="K12" s="10" t="s">
        <v>64</v>
      </c>
      <c r="L12" s="13"/>
      <c r="M12" s="13">
        <v>1.2999E7</v>
      </c>
      <c r="N12" s="13"/>
      <c r="O12" s="13"/>
      <c r="P12" s="13"/>
      <c r="Q12" s="13"/>
      <c r="R12" s="14">
        <f t="shared" si="1"/>
        <v>12999000</v>
      </c>
      <c r="S12" s="15">
        <f t="shared" si="2"/>
        <v>12999000</v>
      </c>
      <c r="T12" s="15">
        <f t="shared" si="3"/>
        <v>12999000</v>
      </c>
      <c r="U12" s="16">
        <f t="shared" si="4"/>
        <v>0</v>
      </c>
      <c r="V12" s="17">
        <f t="shared" si="5"/>
        <v>1</v>
      </c>
      <c r="W12" s="14">
        <f t="shared" si="6"/>
        <v>25998</v>
      </c>
      <c r="X12" s="8" t="s">
        <v>35</v>
      </c>
      <c r="Y12" s="18" t="s">
        <v>50</v>
      </c>
    </row>
    <row r="13" ht="15.0" hidden="1" customHeight="1">
      <c r="A13" s="8">
        <v>9.0</v>
      </c>
      <c r="B13" s="9" t="s">
        <v>27</v>
      </c>
      <c r="C13" s="10" t="s">
        <v>65</v>
      </c>
      <c r="D13" s="10" t="s">
        <v>55</v>
      </c>
      <c r="E13" s="10" t="s">
        <v>30</v>
      </c>
      <c r="F13" s="11">
        <v>502.0</v>
      </c>
      <c r="G13" s="12"/>
      <c r="H13" s="8" t="s">
        <v>31</v>
      </c>
      <c r="I13" s="8" t="s">
        <v>32</v>
      </c>
      <c r="J13" s="10" t="s">
        <v>66</v>
      </c>
      <c r="K13" s="10" t="s">
        <v>67</v>
      </c>
      <c r="L13" s="13"/>
      <c r="M13" s="13">
        <v>8999000.0</v>
      </c>
      <c r="N13" s="13"/>
      <c r="O13" s="13"/>
      <c r="P13" s="13"/>
      <c r="Q13" s="13"/>
      <c r="R13" s="14">
        <f t="shared" si="1"/>
        <v>8999000</v>
      </c>
      <c r="S13" s="15">
        <f t="shared" si="2"/>
        <v>8999000</v>
      </c>
      <c r="T13" s="15">
        <f t="shared" si="3"/>
        <v>8999000</v>
      </c>
      <c r="U13" s="16">
        <f t="shared" si="4"/>
        <v>0</v>
      </c>
      <c r="V13" s="17">
        <f t="shared" si="5"/>
        <v>1</v>
      </c>
      <c r="W13" s="14">
        <f t="shared" si="6"/>
        <v>17926.29482</v>
      </c>
      <c r="X13" s="8" t="s">
        <v>35</v>
      </c>
      <c r="Y13" s="18" t="s">
        <v>68</v>
      </c>
    </row>
    <row r="14" ht="15.0" hidden="1" customHeight="1">
      <c r="A14" s="8">
        <v>10.0</v>
      </c>
      <c r="B14" s="9" t="s">
        <v>69</v>
      </c>
      <c r="C14" s="10" t="s">
        <v>70</v>
      </c>
      <c r="D14" s="10" t="s">
        <v>71</v>
      </c>
      <c r="E14" s="10" t="s">
        <v>72</v>
      </c>
      <c r="F14" s="11">
        <v>658.0</v>
      </c>
      <c r="G14" s="11">
        <v>618.0</v>
      </c>
      <c r="H14" s="19"/>
      <c r="I14" s="8" t="s">
        <v>32</v>
      </c>
      <c r="J14" s="10" t="s">
        <v>73</v>
      </c>
      <c r="K14" s="10" t="s">
        <v>74</v>
      </c>
      <c r="L14" s="13">
        <v>1.9119E7</v>
      </c>
      <c r="M14" s="13">
        <v>1.6998E7</v>
      </c>
      <c r="N14" s="13">
        <v>1.9129E7</v>
      </c>
      <c r="O14" s="13"/>
      <c r="P14" s="13"/>
      <c r="Q14" s="13"/>
      <c r="R14" s="14">
        <f t="shared" si="1"/>
        <v>18415333.33</v>
      </c>
      <c r="S14" s="15">
        <f t="shared" si="2"/>
        <v>16998000</v>
      </c>
      <c r="T14" s="15">
        <f t="shared" si="3"/>
        <v>19129000</v>
      </c>
      <c r="U14" s="16">
        <f t="shared" si="4"/>
        <v>0.1253676903</v>
      </c>
      <c r="V14" s="17">
        <f t="shared" si="5"/>
        <v>3</v>
      </c>
      <c r="W14" s="14">
        <f t="shared" si="6"/>
        <v>29798.274</v>
      </c>
      <c r="X14" s="8" t="s">
        <v>35</v>
      </c>
      <c r="Y14" s="18" t="s">
        <v>75</v>
      </c>
    </row>
    <row r="15" ht="15.0" hidden="1" customHeight="1">
      <c r="A15" s="8">
        <v>11.0</v>
      </c>
      <c r="B15" s="9" t="s">
        <v>69</v>
      </c>
      <c r="C15" s="10" t="s">
        <v>76</v>
      </c>
      <c r="D15" s="10" t="s">
        <v>71</v>
      </c>
      <c r="E15" s="10" t="s">
        <v>72</v>
      </c>
      <c r="F15" s="11">
        <v>616.0</v>
      </c>
      <c r="G15" s="12"/>
      <c r="H15" s="19"/>
      <c r="I15" s="8" t="s">
        <v>32</v>
      </c>
      <c r="J15" s="10"/>
      <c r="K15" s="10"/>
      <c r="L15" s="13">
        <v>1.0259E7</v>
      </c>
      <c r="M15" s="13"/>
      <c r="N15" s="13"/>
      <c r="O15" s="13"/>
      <c r="P15" s="13"/>
      <c r="Q15" s="13"/>
      <c r="R15" s="14">
        <f t="shared" si="1"/>
        <v>10259000</v>
      </c>
      <c r="S15" s="15">
        <f t="shared" si="2"/>
        <v>10259000</v>
      </c>
      <c r="T15" s="15">
        <f t="shared" si="3"/>
        <v>10259000</v>
      </c>
      <c r="U15" s="16">
        <f t="shared" si="4"/>
        <v>0</v>
      </c>
      <c r="V15" s="17">
        <f t="shared" si="5"/>
        <v>1</v>
      </c>
      <c r="W15" s="14">
        <f t="shared" si="6"/>
        <v>16654.22078</v>
      </c>
      <c r="X15" s="8" t="s">
        <v>35</v>
      </c>
      <c r="Y15" s="18" t="s">
        <v>77</v>
      </c>
    </row>
    <row r="16" ht="15.0" hidden="1" customHeight="1">
      <c r="A16" s="8">
        <v>12.0</v>
      </c>
      <c r="B16" s="9" t="s">
        <v>69</v>
      </c>
      <c r="C16" s="10" t="s">
        <v>78</v>
      </c>
      <c r="D16" s="10" t="s">
        <v>71</v>
      </c>
      <c r="E16" s="10" t="s">
        <v>72</v>
      </c>
      <c r="F16" s="11">
        <v>569.0</v>
      </c>
      <c r="G16" s="12"/>
      <c r="H16" s="19"/>
      <c r="I16" s="8" t="s">
        <v>79</v>
      </c>
      <c r="J16" s="10" t="s">
        <v>80</v>
      </c>
      <c r="K16" s="10" t="s">
        <v>81</v>
      </c>
      <c r="L16" s="13"/>
      <c r="M16" s="13">
        <v>8398000.0</v>
      </c>
      <c r="N16" s="13"/>
      <c r="O16" s="13"/>
      <c r="P16" s="13"/>
      <c r="Q16" s="13"/>
      <c r="R16" s="14">
        <f t="shared" si="1"/>
        <v>8398000</v>
      </c>
      <c r="S16" s="15">
        <f t="shared" si="2"/>
        <v>8398000</v>
      </c>
      <c r="T16" s="15">
        <f t="shared" si="3"/>
        <v>8398000</v>
      </c>
      <c r="U16" s="16">
        <f t="shared" si="4"/>
        <v>0</v>
      </c>
      <c r="V16" s="17">
        <f t="shared" si="5"/>
        <v>1</v>
      </c>
      <c r="W16" s="14">
        <f t="shared" si="6"/>
        <v>14759.22671</v>
      </c>
      <c r="X16" s="8" t="s">
        <v>35</v>
      </c>
      <c r="Y16" s="18" t="s">
        <v>82</v>
      </c>
    </row>
    <row r="17" ht="15.0" hidden="1" customHeight="1">
      <c r="A17" s="8">
        <v>13.0</v>
      </c>
      <c r="B17" s="9" t="s">
        <v>69</v>
      </c>
      <c r="C17" s="10" t="s">
        <v>83</v>
      </c>
      <c r="D17" s="10" t="s">
        <v>71</v>
      </c>
      <c r="E17" s="10" t="s">
        <v>72</v>
      </c>
      <c r="F17" s="11">
        <v>542.0</v>
      </c>
      <c r="G17" s="12"/>
      <c r="H17" s="19"/>
      <c r="I17" s="8" t="s">
        <v>79</v>
      </c>
      <c r="J17" s="10"/>
      <c r="K17" s="10"/>
      <c r="L17" s="13">
        <v>1.0439E7</v>
      </c>
      <c r="M17" s="13"/>
      <c r="N17" s="13"/>
      <c r="O17" s="13"/>
      <c r="P17" s="13"/>
      <c r="Q17" s="13"/>
      <c r="R17" s="14">
        <f t="shared" si="1"/>
        <v>10439000</v>
      </c>
      <c r="S17" s="15">
        <f t="shared" si="2"/>
        <v>10439000</v>
      </c>
      <c r="T17" s="15">
        <f t="shared" si="3"/>
        <v>10439000</v>
      </c>
      <c r="U17" s="16">
        <f t="shared" si="4"/>
        <v>0</v>
      </c>
      <c r="V17" s="17">
        <f t="shared" si="5"/>
        <v>1</v>
      </c>
      <c r="W17" s="14">
        <f t="shared" si="6"/>
        <v>19260.1476</v>
      </c>
      <c r="X17" s="8" t="s">
        <v>35</v>
      </c>
      <c r="Y17" s="18" t="s">
        <v>77</v>
      </c>
    </row>
    <row r="18" ht="15.0" hidden="1" customHeight="1">
      <c r="A18" s="8">
        <v>14.0</v>
      </c>
      <c r="B18" s="9" t="s">
        <v>69</v>
      </c>
      <c r="C18" s="10" t="s">
        <v>84</v>
      </c>
      <c r="D18" s="10" t="s">
        <v>71</v>
      </c>
      <c r="E18" s="10" t="s">
        <v>72</v>
      </c>
      <c r="F18" s="11">
        <v>480.0</v>
      </c>
      <c r="G18" s="12"/>
      <c r="H18" s="8" t="s">
        <v>56</v>
      </c>
      <c r="I18" s="8" t="s">
        <v>79</v>
      </c>
      <c r="J18" s="10" t="s">
        <v>85</v>
      </c>
      <c r="K18" s="10" t="s">
        <v>86</v>
      </c>
      <c r="L18" s="13">
        <v>8959000.0</v>
      </c>
      <c r="M18" s="13">
        <v>7898000.0</v>
      </c>
      <c r="N18" s="13"/>
      <c r="O18" s="13"/>
      <c r="P18" s="13"/>
      <c r="Q18" s="13"/>
      <c r="R18" s="14">
        <f t="shared" si="1"/>
        <v>8428500</v>
      </c>
      <c r="S18" s="15">
        <f t="shared" si="2"/>
        <v>7898000</v>
      </c>
      <c r="T18" s="15">
        <f t="shared" si="3"/>
        <v>8959000</v>
      </c>
      <c r="U18" s="16">
        <f t="shared" si="4"/>
        <v>0.134337807</v>
      </c>
      <c r="V18" s="17">
        <f t="shared" si="5"/>
        <v>2</v>
      </c>
      <c r="W18" s="14">
        <f t="shared" si="6"/>
        <v>17559.375</v>
      </c>
      <c r="X18" s="8" t="s">
        <v>35</v>
      </c>
      <c r="Y18" s="18" t="s">
        <v>88</v>
      </c>
    </row>
    <row r="19" ht="15.0" hidden="1" customHeight="1">
      <c r="A19" s="8">
        <v>15.0</v>
      </c>
      <c r="B19" s="9" t="s">
        <v>69</v>
      </c>
      <c r="C19" s="10" t="s">
        <v>89</v>
      </c>
      <c r="D19" s="10" t="s">
        <v>71</v>
      </c>
      <c r="E19" s="10" t="s">
        <v>72</v>
      </c>
      <c r="F19" s="11">
        <v>541.0</v>
      </c>
      <c r="G19" s="12"/>
      <c r="H19" s="8" t="s">
        <v>56</v>
      </c>
      <c r="I19" s="8" t="s">
        <v>79</v>
      </c>
      <c r="J19" s="10" t="s">
        <v>91</v>
      </c>
      <c r="K19" s="10" t="s">
        <v>92</v>
      </c>
      <c r="L19" s="13"/>
      <c r="M19" s="13"/>
      <c r="N19" s="13">
        <v>9759000.0</v>
      </c>
      <c r="O19" s="13"/>
      <c r="P19" s="13"/>
      <c r="Q19" s="13"/>
      <c r="R19" s="14">
        <f t="shared" si="1"/>
        <v>9759000</v>
      </c>
      <c r="S19" s="15">
        <f t="shared" si="2"/>
        <v>9759000</v>
      </c>
      <c r="T19" s="15">
        <f t="shared" si="3"/>
        <v>9759000</v>
      </c>
      <c r="U19" s="16">
        <f t="shared" si="4"/>
        <v>0</v>
      </c>
      <c r="V19" s="17">
        <f t="shared" si="5"/>
        <v>1</v>
      </c>
      <c r="W19" s="14">
        <f t="shared" si="6"/>
        <v>18038.81701</v>
      </c>
      <c r="X19" s="8" t="s">
        <v>35</v>
      </c>
      <c r="Y19" s="18" t="s">
        <v>97</v>
      </c>
    </row>
    <row r="20" ht="15.0" hidden="1" customHeight="1">
      <c r="A20" s="8">
        <v>16.0</v>
      </c>
      <c r="B20" s="9" t="s">
        <v>69</v>
      </c>
      <c r="C20" s="10" t="s">
        <v>98</v>
      </c>
      <c r="D20" s="10" t="s">
        <v>99</v>
      </c>
      <c r="E20" s="10" t="s">
        <v>30</v>
      </c>
      <c r="F20" s="11">
        <v>658.0</v>
      </c>
      <c r="G20" s="12"/>
      <c r="H20" s="8" t="s">
        <v>31</v>
      </c>
      <c r="I20" s="8" t="s">
        <v>79</v>
      </c>
      <c r="J20" s="10" t="s">
        <v>101</v>
      </c>
      <c r="K20" s="10" t="s">
        <v>102</v>
      </c>
      <c r="L20" s="13">
        <v>2.0269E7</v>
      </c>
      <c r="M20" s="13">
        <v>1.7298E7</v>
      </c>
      <c r="N20" s="13"/>
      <c r="O20" s="13"/>
      <c r="P20" s="13"/>
      <c r="Q20" s="13"/>
      <c r="R20" s="14">
        <f t="shared" si="1"/>
        <v>18783500</v>
      </c>
      <c r="S20" s="15">
        <f t="shared" si="2"/>
        <v>17298000</v>
      </c>
      <c r="T20" s="15">
        <f t="shared" si="3"/>
        <v>20269000</v>
      </c>
      <c r="U20" s="16">
        <f t="shared" si="4"/>
        <v>0.17175396</v>
      </c>
      <c r="V20" s="17">
        <f t="shared" si="5"/>
        <v>2</v>
      </c>
      <c r="W20" s="14">
        <f t="shared" si="6"/>
        <v>28546.35258</v>
      </c>
      <c r="X20" s="8" t="s">
        <v>35</v>
      </c>
      <c r="Y20" s="18" t="s">
        <v>103</v>
      </c>
    </row>
    <row r="21" ht="15.0" hidden="1" customHeight="1">
      <c r="A21" s="8">
        <v>17.0</v>
      </c>
      <c r="B21" s="9" t="s">
        <v>69</v>
      </c>
      <c r="C21" s="10" t="s">
        <v>104</v>
      </c>
      <c r="D21" s="10" t="s">
        <v>99</v>
      </c>
      <c r="E21" s="10" t="s">
        <v>30</v>
      </c>
      <c r="F21" s="11">
        <v>469.0</v>
      </c>
      <c r="G21" s="12"/>
      <c r="H21" s="19"/>
      <c r="I21" s="8" t="s">
        <v>32</v>
      </c>
      <c r="J21" s="10" t="s">
        <v>106</v>
      </c>
      <c r="K21" s="10" t="s">
        <v>107</v>
      </c>
      <c r="L21" s="13">
        <v>1.1959E7</v>
      </c>
      <c r="M21" s="13">
        <v>1.0498E7</v>
      </c>
      <c r="N21" s="13"/>
      <c r="O21" s="13"/>
      <c r="P21" s="13"/>
      <c r="Q21" s="13"/>
      <c r="R21" s="14">
        <f t="shared" si="1"/>
        <v>11228500</v>
      </c>
      <c r="S21" s="15">
        <f t="shared" si="2"/>
        <v>10498000</v>
      </c>
      <c r="T21" s="15">
        <f t="shared" si="3"/>
        <v>11959000</v>
      </c>
      <c r="U21" s="16">
        <f t="shared" si="4"/>
        <v>0.1391693656</v>
      </c>
      <c r="V21" s="17">
        <f t="shared" si="5"/>
        <v>2</v>
      </c>
      <c r="W21" s="14">
        <f t="shared" si="6"/>
        <v>23941.36461</v>
      </c>
      <c r="X21" s="8" t="s">
        <v>35</v>
      </c>
      <c r="Y21" s="18" t="s">
        <v>108</v>
      </c>
    </row>
    <row r="22" ht="15.0" hidden="1" customHeight="1">
      <c r="A22" s="8">
        <v>18.0</v>
      </c>
      <c r="B22" s="9" t="s">
        <v>69</v>
      </c>
      <c r="C22" s="10" t="s">
        <v>109</v>
      </c>
      <c r="D22" s="10" t="s">
        <v>99</v>
      </c>
      <c r="E22" s="10" t="s">
        <v>30</v>
      </c>
      <c r="F22" s="11">
        <v>469.0</v>
      </c>
      <c r="G22" s="12"/>
      <c r="H22" s="19"/>
      <c r="I22" s="8" t="s">
        <v>32</v>
      </c>
      <c r="J22" s="10"/>
      <c r="K22" s="10"/>
      <c r="L22" s="13">
        <v>1.1609E7</v>
      </c>
      <c r="M22" s="13"/>
      <c r="N22" s="13"/>
      <c r="O22" s="13"/>
      <c r="P22" s="13"/>
      <c r="Q22" s="13"/>
      <c r="R22" s="14">
        <f t="shared" si="1"/>
        <v>11609000</v>
      </c>
      <c r="S22" s="15">
        <f t="shared" si="2"/>
        <v>11609000</v>
      </c>
      <c r="T22" s="15">
        <f t="shared" si="3"/>
        <v>11609000</v>
      </c>
      <c r="U22" s="16">
        <f t="shared" si="4"/>
        <v>0</v>
      </c>
      <c r="V22" s="17">
        <f t="shared" si="5"/>
        <v>1</v>
      </c>
      <c r="W22" s="14">
        <f t="shared" si="6"/>
        <v>24752.66525</v>
      </c>
      <c r="X22" s="8" t="s">
        <v>35</v>
      </c>
      <c r="Y22" s="18" t="s">
        <v>113</v>
      </c>
    </row>
    <row r="23" ht="15.0" hidden="1" customHeight="1">
      <c r="A23" s="8">
        <v>19.0</v>
      </c>
      <c r="B23" s="9" t="s">
        <v>69</v>
      </c>
      <c r="C23" s="10" t="s">
        <v>114</v>
      </c>
      <c r="D23" s="10" t="s">
        <v>99</v>
      </c>
      <c r="E23" s="10" t="s">
        <v>30</v>
      </c>
      <c r="F23" s="11">
        <v>469.0</v>
      </c>
      <c r="G23" s="12"/>
      <c r="H23" s="8" t="s">
        <v>56</v>
      </c>
      <c r="I23" s="8" t="s">
        <v>32</v>
      </c>
      <c r="J23" s="10"/>
      <c r="K23" s="10"/>
      <c r="L23" s="13">
        <v>1.0149E7</v>
      </c>
      <c r="M23" s="13"/>
      <c r="N23" s="13"/>
      <c r="O23" s="13"/>
      <c r="P23" s="13"/>
      <c r="Q23" s="13"/>
      <c r="R23" s="14">
        <f t="shared" si="1"/>
        <v>10149000</v>
      </c>
      <c r="S23" s="15">
        <f t="shared" si="2"/>
        <v>10149000</v>
      </c>
      <c r="T23" s="15">
        <f t="shared" si="3"/>
        <v>10149000</v>
      </c>
      <c r="U23" s="16">
        <f t="shared" si="4"/>
        <v>0</v>
      </c>
      <c r="V23" s="17">
        <f t="shared" si="5"/>
        <v>1</v>
      </c>
      <c r="W23" s="14">
        <f t="shared" si="6"/>
        <v>21639.65885</v>
      </c>
      <c r="X23" s="8" t="s">
        <v>35</v>
      </c>
      <c r="Y23" s="18" t="s">
        <v>113</v>
      </c>
    </row>
    <row r="24" ht="15.0" hidden="1" customHeight="1">
      <c r="A24" s="8">
        <v>20.0</v>
      </c>
      <c r="B24" s="9" t="s">
        <v>69</v>
      </c>
      <c r="C24" s="10" t="s">
        <v>119</v>
      </c>
      <c r="D24" s="10" t="s">
        <v>99</v>
      </c>
      <c r="E24" s="10" t="s">
        <v>30</v>
      </c>
      <c r="F24" s="11">
        <v>425.0</v>
      </c>
      <c r="G24" s="11">
        <v>406.0</v>
      </c>
      <c r="H24" s="19"/>
      <c r="I24" s="8" t="s">
        <v>79</v>
      </c>
      <c r="J24" s="10" t="s">
        <v>121</v>
      </c>
      <c r="K24" s="10" t="s">
        <v>122</v>
      </c>
      <c r="L24" s="13">
        <v>9229000.0</v>
      </c>
      <c r="M24" s="13">
        <v>8398000.0</v>
      </c>
      <c r="N24" s="13"/>
      <c r="O24" s="13"/>
      <c r="P24" s="13"/>
      <c r="Q24" s="13"/>
      <c r="R24" s="14">
        <f t="shared" si="1"/>
        <v>8813500</v>
      </c>
      <c r="S24" s="15">
        <f t="shared" si="2"/>
        <v>8398000</v>
      </c>
      <c r="T24" s="15">
        <f t="shared" si="3"/>
        <v>9229000</v>
      </c>
      <c r="U24" s="16">
        <f t="shared" si="4"/>
        <v>0.09895213146</v>
      </c>
      <c r="V24" s="17">
        <f t="shared" si="5"/>
        <v>2</v>
      </c>
      <c r="W24" s="14">
        <f t="shared" si="6"/>
        <v>21708.12808</v>
      </c>
      <c r="X24" s="8" t="s">
        <v>35</v>
      </c>
      <c r="Y24" s="18" t="s">
        <v>124</v>
      </c>
    </row>
    <row r="25" ht="15.0" hidden="1" customHeight="1">
      <c r="A25" s="8">
        <v>21.0</v>
      </c>
      <c r="B25" s="9" t="s">
        <v>69</v>
      </c>
      <c r="C25" s="10" t="s">
        <v>126</v>
      </c>
      <c r="D25" s="10" t="s">
        <v>99</v>
      </c>
      <c r="E25" s="10" t="s">
        <v>30</v>
      </c>
      <c r="F25" s="12"/>
      <c r="G25" s="11">
        <v>406.0</v>
      </c>
      <c r="H25" s="19"/>
      <c r="I25" s="8" t="s">
        <v>79</v>
      </c>
      <c r="J25" s="10"/>
      <c r="K25" s="10"/>
      <c r="L25" s="13"/>
      <c r="M25" s="13">
        <v>9198000.0</v>
      </c>
      <c r="N25" s="13"/>
      <c r="O25" s="13"/>
      <c r="P25" s="13"/>
      <c r="Q25" s="13"/>
      <c r="R25" s="14">
        <f t="shared" si="1"/>
        <v>9198000</v>
      </c>
      <c r="S25" s="15">
        <f t="shared" si="2"/>
        <v>9198000</v>
      </c>
      <c r="T25" s="15">
        <f t="shared" si="3"/>
        <v>9198000</v>
      </c>
      <c r="U25" s="16">
        <f t="shared" si="4"/>
        <v>0</v>
      </c>
      <c r="V25" s="17">
        <f t="shared" si="5"/>
        <v>1</v>
      </c>
      <c r="W25" s="14">
        <f t="shared" si="6"/>
        <v>22655.17241</v>
      </c>
      <c r="X25" s="8" t="s">
        <v>35</v>
      </c>
      <c r="Y25" s="18" t="s">
        <v>131</v>
      </c>
    </row>
    <row r="26" ht="15.0" hidden="1" customHeight="1">
      <c r="A26" s="8">
        <v>22.0</v>
      </c>
      <c r="B26" s="9" t="s">
        <v>69</v>
      </c>
      <c r="C26" s="10" t="s">
        <v>132</v>
      </c>
      <c r="D26" s="10" t="s">
        <v>133</v>
      </c>
      <c r="E26" s="10" t="s">
        <v>72</v>
      </c>
      <c r="F26" s="12"/>
      <c r="G26" s="11">
        <v>562.0</v>
      </c>
      <c r="H26" s="19"/>
      <c r="I26" s="8" t="s">
        <v>32</v>
      </c>
      <c r="J26" s="10"/>
      <c r="K26" s="10"/>
      <c r="L26" s="13"/>
      <c r="M26" s="13"/>
      <c r="N26" s="13"/>
      <c r="O26" s="13"/>
      <c r="P26" s="13"/>
      <c r="Q26" s="13"/>
      <c r="R26" s="14" t="str">
        <f t="shared" si="1"/>
        <v/>
      </c>
      <c r="S26" s="15" t="str">
        <f t="shared" si="2"/>
        <v/>
      </c>
      <c r="T26" s="15" t="str">
        <f t="shared" si="3"/>
        <v/>
      </c>
      <c r="U26" s="16" t="str">
        <f t="shared" si="4"/>
        <v/>
      </c>
      <c r="V26" s="17">
        <f t="shared" si="5"/>
        <v>0</v>
      </c>
      <c r="W26" s="14">
        <f t="shared" si="6"/>
        <v>0</v>
      </c>
      <c r="X26" s="8" t="s">
        <v>35</v>
      </c>
      <c r="Y26" s="18" t="s">
        <v>137</v>
      </c>
    </row>
    <row r="27" ht="15.0" hidden="1" customHeight="1">
      <c r="A27" s="8">
        <v>23.0</v>
      </c>
      <c r="B27" s="9" t="s">
        <v>69</v>
      </c>
      <c r="C27" s="10" t="s">
        <v>139</v>
      </c>
      <c r="D27" s="10" t="s">
        <v>140</v>
      </c>
      <c r="E27" s="10" t="s">
        <v>112</v>
      </c>
      <c r="F27" s="12"/>
      <c r="G27" s="12"/>
      <c r="H27" s="19"/>
      <c r="I27" s="8" t="s">
        <v>32</v>
      </c>
      <c r="J27" s="10"/>
      <c r="K27" s="10" t="s">
        <v>145</v>
      </c>
      <c r="L27" s="13"/>
      <c r="M27" s="13"/>
      <c r="N27" s="13">
        <v>1.0839E7</v>
      </c>
      <c r="O27" s="13"/>
      <c r="P27" s="13"/>
      <c r="Q27" s="13"/>
      <c r="R27" s="14">
        <f t="shared" si="1"/>
        <v>10839000</v>
      </c>
      <c r="S27" s="15">
        <f t="shared" si="2"/>
        <v>10839000</v>
      </c>
      <c r="T27" s="15">
        <f t="shared" si="3"/>
        <v>10839000</v>
      </c>
      <c r="U27" s="16">
        <f t="shared" si="4"/>
        <v>0</v>
      </c>
      <c r="V27" s="17">
        <f t="shared" si="5"/>
        <v>1</v>
      </c>
      <c r="W27" s="14" t="str">
        <f t="shared" si="6"/>
        <v/>
      </c>
      <c r="X27" s="8" t="s">
        <v>35</v>
      </c>
      <c r="Y27" s="18" t="s">
        <v>146</v>
      </c>
    </row>
    <row r="28" ht="15.0" hidden="1" customHeight="1">
      <c r="A28" s="8">
        <v>24.0</v>
      </c>
      <c r="B28" s="9" t="s">
        <v>69</v>
      </c>
      <c r="C28" s="10" t="s">
        <v>147</v>
      </c>
      <c r="D28" s="10" t="s">
        <v>148</v>
      </c>
      <c r="E28" s="10" t="s">
        <v>112</v>
      </c>
      <c r="F28" s="11">
        <v>245.0</v>
      </c>
      <c r="G28" s="12"/>
      <c r="H28" s="19"/>
      <c r="I28" s="8" t="s">
        <v>32</v>
      </c>
      <c r="J28" s="10" t="s">
        <v>149</v>
      </c>
      <c r="K28" s="10" t="s">
        <v>150</v>
      </c>
      <c r="L28" s="13">
        <v>5039000.0</v>
      </c>
      <c r="M28" s="13">
        <v>4398000.0</v>
      </c>
      <c r="N28" s="13"/>
      <c r="O28" s="13"/>
      <c r="P28" s="13"/>
      <c r="Q28" s="13"/>
      <c r="R28" s="14">
        <f t="shared" si="1"/>
        <v>4718500</v>
      </c>
      <c r="S28" s="15">
        <f t="shared" si="2"/>
        <v>4398000</v>
      </c>
      <c r="T28" s="15">
        <f t="shared" si="3"/>
        <v>5039000</v>
      </c>
      <c r="U28" s="16">
        <f t="shared" si="4"/>
        <v>0.1457480673</v>
      </c>
      <c r="V28" s="17">
        <f t="shared" si="5"/>
        <v>2</v>
      </c>
      <c r="W28" s="14">
        <f t="shared" si="6"/>
        <v>19259.18367</v>
      </c>
      <c r="X28" s="8" t="s">
        <v>35</v>
      </c>
      <c r="Y28" s="18" t="s">
        <v>151</v>
      </c>
    </row>
    <row r="29" ht="15.0" hidden="1" customHeight="1">
      <c r="A29" s="8">
        <v>25.0</v>
      </c>
      <c r="B29" s="9" t="s">
        <v>69</v>
      </c>
      <c r="C29" s="10" t="s">
        <v>152</v>
      </c>
      <c r="D29" s="10" t="s">
        <v>153</v>
      </c>
      <c r="E29" s="10" t="s">
        <v>112</v>
      </c>
      <c r="F29" s="11">
        <v>280.0</v>
      </c>
      <c r="G29" s="12"/>
      <c r="H29" s="19"/>
      <c r="I29" s="19"/>
      <c r="J29" s="10" t="s">
        <v>154</v>
      </c>
      <c r="K29" s="10" t="s">
        <v>155</v>
      </c>
      <c r="L29" s="13"/>
      <c r="M29" s="13">
        <v>3198000.0</v>
      </c>
      <c r="N29" s="13"/>
      <c r="O29" s="13"/>
      <c r="P29" s="13"/>
      <c r="Q29" s="13"/>
      <c r="R29" s="14">
        <f t="shared" si="1"/>
        <v>3198000</v>
      </c>
      <c r="S29" s="15">
        <f t="shared" si="2"/>
        <v>3198000</v>
      </c>
      <c r="T29" s="15">
        <f t="shared" si="3"/>
        <v>3198000</v>
      </c>
      <c r="U29" s="16">
        <f t="shared" si="4"/>
        <v>0</v>
      </c>
      <c r="V29" s="17">
        <f t="shared" si="5"/>
        <v>1</v>
      </c>
      <c r="W29" s="14">
        <f t="shared" si="6"/>
        <v>11421.42857</v>
      </c>
      <c r="X29" s="8" t="s">
        <v>35</v>
      </c>
      <c r="Y29" s="18" t="s">
        <v>156</v>
      </c>
    </row>
    <row r="30" ht="15.0" hidden="1" customHeight="1">
      <c r="A30" s="8">
        <v>26.0</v>
      </c>
      <c r="B30" s="9" t="s">
        <v>69</v>
      </c>
      <c r="C30" s="10" t="s">
        <v>157</v>
      </c>
      <c r="D30" s="10" t="s">
        <v>158</v>
      </c>
      <c r="E30" s="10" t="s">
        <v>112</v>
      </c>
      <c r="F30" s="11">
        <v>240.0</v>
      </c>
      <c r="G30" s="12"/>
      <c r="H30" s="19"/>
      <c r="I30" s="19"/>
      <c r="J30" s="10" t="s">
        <v>159</v>
      </c>
      <c r="K30" s="10" t="s">
        <v>160</v>
      </c>
      <c r="L30" s="13"/>
      <c r="M30" s="13">
        <v>2898000.0</v>
      </c>
      <c r="N30" s="13"/>
      <c r="O30" s="13"/>
      <c r="P30" s="13"/>
      <c r="Q30" s="13"/>
      <c r="R30" s="14">
        <f t="shared" si="1"/>
        <v>2898000</v>
      </c>
      <c r="S30" s="15">
        <f t="shared" si="2"/>
        <v>2898000</v>
      </c>
      <c r="T30" s="15">
        <f t="shared" si="3"/>
        <v>2898000</v>
      </c>
      <c r="U30" s="16">
        <f t="shared" si="4"/>
        <v>0</v>
      </c>
      <c r="V30" s="17">
        <f t="shared" si="5"/>
        <v>1</v>
      </c>
      <c r="W30" s="14">
        <f t="shared" si="6"/>
        <v>12075</v>
      </c>
      <c r="X30" s="8" t="s">
        <v>35</v>
      </c>
      <c r="Y30" s="18" t="s">
        <v>165</v>
      </c>
    </row>
    <row r="31" ht="15.0" hidden="1" customHeight="1">
      <c r="A31" s="8">
        <v>27.0</v>
      </c>
      <c r="B31" s="9" t="s">
        <v>69</v>
      </c>
      <c r="C31" s="10" t="s">
        <v>166</v>
      </c>
      <c r="D31" s="10" t="s">
        <v>148</v>
      </c>
      <c r="E31" s="10" t="s">
        <v>112</v>
      </c>
      <c r="F31" s="11">
        <v>225.0</v>
      </c>
      <c r="G31" s="12"/>
      <c r="H31" s="8" t="s">
        <v>56</v>
      </c>
      <c r="I31" s="8" t="s">
        <v>32</v>
      </c>
      <c r="J31" s="10" t="s">
        <v>149</v>
      </c>
      <c r="K31" s="10" t="s">
        <v>168</v>
      </c>
      <c r="L31" s="13">
        <v>4329000.0</v>
      </c>
      <c r="M31" s="13">
        <v>3798000.0</v>
      </c>
      <c r="N31" s="13"/>
      <c r="O31" s="13"/>
      <c r="P31" s="13"/>
      <c r="Q31" s="13"/>
      <c r="R31" s="14">
        <f t="shared" si="1"/>
        <v>4063500</v>
      </c>
      <c r="S31" s="15">
        <f t="shared" si="2"/>
        <v>3798000</v>
      </c>
      <c r="T31" s="15">
        <f t="shared" si="3"/>
        <v>4329000</v>
      </c>
      <c r="U31" s="16">
        <f t="shared" si="4"/>
        <v>0.1398104265</v>
      </c>
      <c r="V31" s="17">
        <f t="shared" si="5"/>
        <v>2</v>
      </c>
      <c r="W31" s="14">
        <f t="shared" si="6"/>
        <v>18060</v>
      </c>
      <c r="X31" s="8" t="s">
        <v>35</v>
      </c>
      <c r="Y31" s="18" t="s">
        <v>173</v>
      </c>
    </row>
    <row r="32" ht="15.0" hidden="1" customHeight="1">
      <c r="A32" s="8">
        <v>28.0</v>
      </c>
      <c r="B32" s="9" t="s">
        <v>69</v>
      </c>
      <c r="C32" s="10" t="s">
        <v>174</v>
      </c>
      <c r="D32" s="10" t="s">
        <v>175</v>
      </c>
      <c r="E32" s="10" t="s">
        <v>112</v>
      </c>
      <c r="F32" s="11">
        <v>225.0</v>
      </c>
      <c r="G32" s="12"/>
      <c r="H32" s="19"/>
      <c r="I32" s="19"/>
      <c r="J32" s="10"/>
      <c r="K32" s="10" t="s">
        <v>177</v>
      </c>
      <c r="L32" s="13">
        <v>3699000.0</v>
      </c>
      <c r="M32" s="13"/>
      <c r="N32" s="13">
        <v>3329000.0</v>
      </c>
      <c r="O32" s="13"/>
      <c r="P32" s="13"/>
      <c r="Q32" s="13"/>
      <c r="R32" s="14">
        <f t="shared" si="1"/>
        <v>3514000</v>
      </c>
      <c r="S32" s="15">
        <f t="shared" si="2"/>
        <v>3329000</v>
      </c>
      <c r="T32" s="15">
        <f t="shared" si="3"/>
        <v>3699000</v>
      </c>
      <c r="U32" s="16">
        <f t="shared" si="4"/>
        <v>0.1111444878</v>
      </c>
      <c r="V32" s="17">
        <f t="shared" si="5"/>
        <v>2</v>
      </c>
      <c r="W32" s="14">
        <f t="shared" si="6"/>
        <v>15617.77778</v>
      </c>
      <c r="X32" s="8" t="s">
        <v>35</v>
      </c>
      <c r="Y32" s="18" t="s">
        <v>181</v>
      </c>
    </row>
    <row r="33" ht="15.0" hidden="1" customHeight="1">
      <c r="A33" s="8">
        <v>29.0</v>
      </c>
      <c r="B33" s="9" t="s">
        <v>69</v>
      </c>
      <c r="C33" s="10" t="s">
        <v>182</v>
      </c>
      <c r="D33" s="10" t="s">
        <v>183</v>
      </c>
      <c r="E33" s="10" t="s">
        <v>112</v>
      </c>
      <c r="F33" s="12"/>
      <c r="G33" s="12"/>
      <c r="H33" s="19"/>
      <c r="I33" s="19"/>
      <c r="J33" s="10" t="s">
        <v>185</v>
      </c>
      <c r="K33" s="10" t="s">
        <v>187</v>
      </c>
      <c r="L33" s="13"/>
      <c r="M33" s="13"/>
      <c r="N33" s="13">
        <v>3529000.0</v>
      </c>
      <c r="O33" s="13"/>
      <c r="P33" s="13"/>
      <c r="Q33" s="13"/>
      <c r="R33" s="14">
        <f t="shared" si="1"/>
        <v>3529000</v>
      </c>
      <c r="S33" s="15">
        <f t="shared" si="2"/>
        <v>3529000</v>
      </c>
      <c r="T33" s="15">
        <f t="shared" si="3"/>
        <v>3529000</v>
      </c>
      <c r="U33" s="16">
        <f t="shared" si="4"/>
        <v>0</v>
      </c>
      <c r="V33" s="17">
        <f t="shared" si="5"/>
        <v>1</v>
      </c>
      <c r="W33" s="14" t="str">
        <f t="shared" si="6"/>
        <v/>
      </c>
      <c r="X33" s="8" t="s">
        <v>35</v>
      </c>
      <c r="Y33" s="18" t="s">
        <v>190</v>
      </c>
    </row>
    <row r="34" ht="15.0" hidden="1" customHeight="1">
      <c r="A34" s="8">
        <v>30.0</v>
      </c>
      <c r="B34" s="9" t="s">
        <v>69</v>
      </c>
      <c r="C34" s="10" t="s">
        <v>192</v>
      </c>
      <c r="D34" s="10" t="s">
        <v>148</v>
      </c>
      <c r="E34" s="10" t="s">
        <v>112</v>
      </c>
      <c r="F34" s="11">
        <v>205.0</v>
      </c>
      <c r="G34" s="12"/>
      <c r="H34" s="8" t="s">
        <v>56</v>
      </c>
      <c r="I34" s="8" t="s">
        <v>32</v>
      </c>
      <c r="J34" s="10" t="s">
        <v>149</v>
      </c>
      <c r="K34" s="10" t="s">
        <v>200</v>
      </c>
      <c r="L34" s="13"/>
      <c r="M34" s="13">
        <v>3598000.0</v>
      </c>
      <c r="N34" s="13"/>
      <c r="O34" s="13"/>
      <c r="P34" s="13"/>
      <c r="Q34" s="13"/>
      <c r="R34" s="14">
        <f t="shared" si="1"/>
        <v>3598000</v>
      </c>
      <c r="S34" s="15">
        <f t="shared" si="2"/>
        <v>3598000</v>
      </c>
      <c r="T34" s="15">
        <f t="shared" si="3"/>
        <v>3598000</v>
      </c>
      <c r="U34" s="16">
        <f t="shared" si="4"/>
        <v>0</v>
      </c>
      <c r="V34" s="17">
        <f t="shared" si="5"/>
        <v>1</v>
      </c>
      <c r="W34" s="14">
        <f t="shared" si="6"/>
        <v>17551.21951</v>
      </c>
      <c r="X34" s="8" t="s">
        <v>35</v>
      </c>
      <c r="Y34" s="18" t="s">
        <v>203</v>
      </c>
    </row>
    <row r="35" ht="15.0" hidden="1" customHeight="1">
      <c r="A35" s="8">
        <v>31.0</v>
      </c>
      <c r="B35" s="9" t="s">
        <v>69</v>
      </c>
      <c r="C35" s="10" t="s">
        <v>204</v>
      </c>
      <c r="D35" s="10" t="s">
        <v>158</v>
      </c>
      <c r="E35" s="10" t="s">
        <v>112</v>
      </c>
      <c r="F35" s="11">
        <v>205.0</v>
      </c>
      <c r="G35" s="12"/>
      <c r="H35" s="19"/>
      <c r="I35" s="19"/>
      <c r="J35" s="10" t="s">
        <v>205</v>
      </c>
      <c r="K35" s="10" t="s">
        <v>206</v>
      </c>
      <c r="L35" s="13"/>
      <c r="M35" s="13">
        <v>2998000.0</v>
      </c>
      <c r="N35" s="13"/>
      <c r="O35" s="13"/>
      <c r="P35" s="13"/>
      <c r="Q35" s="13"/>
      <c r="R35" s="14">
        <f t="shared" si="1"/>
        <v>2998000</v>
      </c>
      <c r="S35" s="15">
        <f t="shared" si="2"/>
        <v>2998000</v>
      </c>
      <c r="T35" s="15">
        <f t="shared" si="3"/>
        <v>2998000</v>
      </c>
      <c r="U35" s="16">
        <f t="shared" si="4"/>
        <v>0</v>
      </c>
      <c r="V35" s="17">
        <f t="shared" si="5"/>
        <v>1</v>
      </c>
      <c r="W35" s="14">
        <f t="shared" si="6"/>
        <v>14624.39024</v>
      </c>
      <c r="X35" s="8" t="s">
        <v>35</v>
      </c>
      <c r="Y35" s="18" t="s">
        <v>165</v>
      </c>
    </row>
    <row r="36" ht="15.0" hidden="1" customHeight="1">
      <c r="A36" s="8">
        <v>32.0</v>
      </c>
      <c r="B36" s="9" t="s">
        <v>69</v>
      </c>
      <c r="C36" s="10" t="s">
        <v>207</v>
      </c>
      <c r="D36" s="10" t="s">
        <v>175</v>
      </c>
      <c r="E36" s="10" t="s">
        <v>112</v>
      </c>
      <c r="F36" s="11">
        <v>205.0</v>
      </c>
      <c r="G36" s="12"/>
      <c r="H36" s="19"/>
      <c r="I36" s="19"/>
      <c r="J36" s="10"/>
      <c r="K36" s="10" t="s">
        <v>177</v>
      </c>
      <c r="L36" s="13"/>
      <c r="M36" s="13"/>
      <c r="N36" s="13"/>
      <c r="O36" s="13"/>
      <c r="P36" s="13"/>
      <c r="Q36" s="13"/>
      <c r="R36" s="14" t="str">
        <f t="shared" si="1"/>
        <v/>
      </c>
      <c r="S36" s="15" t="str">
        <f t="shared" si="2"/>
        <v/>
      </c>
      <c r="T36" s="15" t="str">
        <f t="shared" si="3"/>
        <v/>
      </c>
      <c r="U36" s="16" t="str">
        <f t="shared" si="4"/>
        <v/>
      </c>
      <c r="V36" s="17">
        <f t="shared" si="5"/>
        <v>0</v>
      </c>
      <c r="W36" s="14">
        <f t="shared" si="6"/>
        <v>0</v>
      </c>
      <c r="X36" s="8" t="s">
        <v>35</v>
      </c>
      <c r="Y36" s="18" t="s">
        <v>208</v>
      </c>
    </row>
    <row r="37" ht="15.0" customHeight="1">
      <c r="A37" s="8">
        <v>33.0</v>
      </c>
      <c r="B37" s="9" t="s">
        <v>69</v>
      </c>
      <c r="C37" s="10" t="s">
        <v>209</v>
      </c>
      <c r="D37" s="10" t="s">
        <v>175</v>
      </c>
      <c r="E37" s="10" t="s">
        <v>112</v>
      </c>
      <c r="F37" s="42" t="s">
        <v>210</v>
      </c>
      <c r="G37" s="43">
        <v>185.0</v>
      </c>
      <c r="H37" s="19"/>
      <c r="I37" s="19"/>
      <c r="J37" s="10"/>
      <c r="K37" s="10" t="s">
        <v>211</v>
      </c>
      <c r="L37" s="13"/>
      <c r="M37" s="13"/>
      <c r="N37" s="13"/>
      <c r="O37" s="13"/>
      <c r="P37" s="13"/>
      <c r="Q37" s="13"/>
      <c r="R37" s="14" t="str">
        <f t="shared" si="1"/>
        <v/>
      </c>
      <c r="S37" s="15" t="str">
        <f t="shared" si="2"/>
        <v/>
      </c>
      <c r="T37" s="15" t="str">
        <f t="shared" si="3"/>
        <v/>
      </c>
      <c r="U37" s="16" t="str">
        <f t="shared" si="4"/>
        <v/>
      </c>
      <c r="V37" s="17">
        <f t="shared" si="5"/>
        <v>0</v>
      </c>
      <c r="W37" s="14">
        <f t="shared" si="6"/>
        <v>0</v>
      </c>
      <c r="X37" s="8" t="s">
        <v>35</v>
      </c>
      <c r="Y37" s="18" t="s">
        <v>208</v>
      </c>
    </row>
    <row r="38" ht="15.0" hidden="1" customHeight="1">
      <c r="A38" s="8">
        <v>34.0</v>
      </c>
      <c r="B38" s="9" t="s">
        <v>69</v>
      </c>
      <c r="C38" s="10" t="s">
        <v>212</v>
      </c>
      <c r="D38" s="10" t="s">
        <v>213</v>
      </c>
      <c r="E38" s="10" t="s">
        <v>214</v>
      </c>
      <c r="F38" s="12"/>
      <c r="G38" s="11">
        <v>180.0</v>
      </c>
      <c r="H38" s="19"/>
      <c r="I38" s="19"/>
      <c r="J38" s="10" t="s">
        <v>215</v>
      </c>
      <c r="K38" s="10" t="s">
        <v>216</v>
      </c>
      <c r="L38" s="13"/>
      <c r="M38" s="13"/>
      <c r="N38" s="13"/>
      <c r="O38" s="13"/>
      <c r="P38" s="13"/>
      <c r="Q38" s="13"/>
      <c r="R38" s="14" t="str">
        <f t="shared" si="1"/>
        <v/>
      </c>
      <c r="S38" s="15" t="str">
        <f t="shared" si="2"/>
        <v/>
      </c>
      <c r="T38" s="15" t="str">
        <f t="shared" si="3"/>
        <v/>
      </c>
      <c r="U38" s="16" t="str">
        <f t="shared" si="4"/>
        <v/>
      </c>
      <c r="V38" s="17">
        <f t="shared" si="5"/>
        <v>0</v>
      </c>
      <c r="W38" s="14">
        <f t="shared" si="6"/>
        <v>0</v>
      </c>
      <c r="X38" s="8" t="s">
        <v>35</v>
      </c>
      <c r="Y38" s="18" t="s">
        <v>217</v>
      </c>
    </row>
    <row r="39" ht="15.0" hidden="1" customHeight="1">
      <c r="A39" s="8">
        <v>35.0</v>
      </c>
      <c r="B39" s="9" t="s">
        <v>69</v>
      </c>
      <c r="C39" s="10" t="s">
        <v>218</v>
      </c>
      <c r="D39" s="10" t="s">
        <v>213</v>
      </c>
      <c r="E39" s="10" t="s">
        <v>214</v>
      </c>
      <c r="F39" s="12"/>
      <c r="G39" s="11">
        <v>165.0</v>
      </c>
      <c r="H39" s="19"/>
      <c r="I39" s="19"/>
      <c r="J39" s="10" t="s">
        <v>215</v>
      </c>
      <c r="K39" s="10" t="s">
        <v>216</v>
      </c>
      <c r="L39" s="13"/>
      <c r="M39" s="13">
        <v>1898000.0</v>
      </c>
      <c r="N39" s="13"/>
      <c r="O39" s="13"/>
      <c r="P39" s="13"/>
      <c r="Q39" s="13"/>
      <c r="R39" s="14">
        <f t="shared" si="1"/>
        <v>1898000</v>
      </c>
      <c r="S39" s="15">
        <f t="shared" si="2"/>
        <v>1898000</v>
      </c>
      <c r="T39" s="15">
        <f t="shared" si="3"/>
        <v>1898000</v>
      </c>
      <c r="U39" s="16">
        <f t="shared" si="4"/>
        <v>0</v>
      </c>
      <c r="V39" s="17">
        <f t="shared" si="5"/>
        <v>1</v>
      </c>
      <c r="W39" s="14">
        <f t="shared" si="6"/>
        <v>11503.0303</v>
      </c>
      <c r="X39" s="8" t="s">
        <v>35</v>
      </c>
      <c r="Y39" s="18" t="s">
        <v>219</v>
      </c>
    </row>
    <row r="40" ht="15.0" hidden="1" customHeight="1">
      <c r="A40" s="8">
        <v>36.0</v>
      </c>
      <c r="B40" s="9" t="s">
        <v>69</v>
      </c>
      <c r="C40" s="10" t="s">
        <v>220</v>
      </c>
      <c r="D40" s="10" t="s">
        <v>213</v>
      </c>
      <c r="E40" s="10" t="s">
        <v>214</v>
      </c>
      <c r="F40" s="12"/>
      <c r="G40" s="11">
        <v>145.0</v>
      </c>
      <c r="H40" s="19"/>
      <c r="I40" s="19"/>
      <c r="J40" s="10" t="s">
        <v>221</v>
      </c>
      <c r="K40" s="10" t="s">
        <v>222</v>
      </c>
      <c r="L40" s="13"/>
      <c r="M40" s="13"/>
      <c r="N40" s="13"/>
      <c r="O40" s="13"/>
      <c r="P40" s="13"/>
      <c r="Q40" s="13"/>
      <c r="R40" s="14" t="str">
        <f t="shared" si="1"/>
        <v/>
      </c>
      <c r="S40" s="15" t="str">
        <f t="shared" si="2"/>
        <v/>
      </c>
      <c r="T40" s="15" t="str">
        <f t="shared" si="3"/>
        <v/>
      </c>
      <c r="U40" s="16" t="str">
        <f t="shared" si="4"/>
        <v/>
      </c>
      <c r="V40" s="17">
        <f t="shared" si="5"/>
        <v>0</v>
      </c>
      <c r="W40" s="14">
        <f t="shared" si="6"/>
        <v>0</v>
      </c>
      <c r="X40" s="8" t="s">
        <v>35</v>
      </c>
      <c r="Y40" s="18" t="s">
        <v>223</v>
      </c>
    </row>
    <row r="41" ht="15.0" hidden="1" customHeight="1">
      <c r="A41" s="8">
        <v>37.0</v>
      </c>
      <c r="B41" s="9" t="s">
        <v>69</v>
      </c>
      <c r="C41" s="10" t="s">
        <v>224</v>
      </c>
      <c r="D41" s="10" t="s">
        <v>214</v>
      </c>
      <c r="E41" s="10" t="s">
        <v>214</v>
      </c>
      <c r="F41" s="12"/>
      <c r="G41" s="11">
        <v>137.0</v>
      </c>
      <c r="H41" s="19"/>
      <c r="I41" s="19"/>
      <c r="J41" s="10" t="s">
        <v>225</v>
      </c>
      <c r="K41" s="10" t="s">
        <v>226</v>
      </c>
      <c r="L41" s="13"/>
      <c r="M41" s="13"/>
      <c r="N41" s="13"/>
      <c r="O41" s="13"/>
      <c r="P41" s="13"/>
      <c r="Q41" s="13"/>
      <c r="R41" s="14" t="str">
        <f t="shared" si="1"/>
        <v/>
      </c>
      <c r="S41" s="15" t="str">
        <f t="shared" si="2"/>
        <v/>
      </c>
      <c r="T41" s="15" t="str">
        <f t="shared" si="3"/>
        <v/>
      </c>
      <c r="U41" s="16" t="str">
        <f t="shared" si="4"/>
        <v/>
      </c>
      <c r="V41" s="17">
        <f t="shared" si="5"/>
        <v>0</v>
      </c>
      <c r="W41" s="14">
        <f t="shared" si="6"/>
        <v>0</v>
      </c>
      <c r="X41" s="8" t="s">
        <v>35</v>
      </c>
      <c r="Y41" s="18" t="s">
        <v>227</v>
      </c>
    </row>
    <row r="42" ht="15.0" hidden="1" customHeight="1">
      <c r="A42" s="35">
        <v>38.0</v>
      </c>
      <c r="B42" s="33" t="s">
        <v>228</v>
      </c>
      <c r="C42" s="34" t="s">
        <v>229</v>
      </c>
      <c r="D42" s="34"/>
      <c r="E42" s="34" t="s">
        <v>30</v>
      </c>
      <c r="F42" s="17">
        <v>639.0</v>
      </c>
      <c r="G42" s="12"/>
      <c r="H42" s="35" t="s">
        <v>31</v>
      </c>
      <c r="I42" s="35" t="s">
        <v>32</v>
      </c>
      <c r="J42" s="34" t="s">
        <v>230</v>
      </c>
      <c r="K42" s="34" t="s">
        <v>231</v>
      </c>
      <c r="L42" s="13">
        <v>1.7279E7</v>
      </c>
      <c r="M42" s="13"/>
      <c r="N42" s="13"/>
      <c r="O42" s="13"/>
      <c r="P42" s="13"/>
      <c r="Q42" s="13">
        <v>1.8599E7</v>
      </c>
      <c r="R42" s="14">
        <f t="shared" si="1"/>
        <v>17939000</v>
      </c>
      <c r="S42" s="15">
        <f t="shared" si="2"/>
        <v>17279000</v>
      </c>
      <c r="T42" s="15">
        <f t="shared" si="3"/>
        <v>18599000</v>
      </c>
      <c r="U42" s="16">
        <f t="shared" si="4"/>
        <v>0.0763933098</v>
      </c>
      <c r="V42" s="17">
        <f t="shared" si="5"/>
        <v>2</v>
      </c>
      <c r="W42" s="14">
        <f t="shared" si="6"/>
        <v>28073.55243</v>
      </c>
      <c r="X42" s="35" t="s">
        <v>35</v>
      </c>
      <c r="Y42" s="44" t="s">
        <v>232</v>
      </c>
    </row>
    <row r="43" ht="15.0" hidden="1" customHeight="1">
      <c r="A43" s="35">
        <v>39.0</v>
      </c>
      <c r="B43" s="33" t="s">
        <v>228</v>
      </c>
      <c r="C43" s="34" t="s">
        <v>233</v>
      </c>
      <c r="D43" s="34"/>
      <c r="E43" s="34" t="s">
        <v>30</v>
      </c>
      <c r="F43" s="17">
        <v>472.0</v>
      </c>
      <c r="G43" s="12"/>
      <c r="H43" s="35" t="s">
        <v>31</v>
      </c>
      <c r="I43" s="35" t="s">
        <v>32</v>
      </c>
      <c r="J43" s="34" t="s">
        <v>234</v>
      </c>
      <c r="K43" s="34" t="s">
        <v>235</v>
      </c>
      <c r="L43" s="13"/>
      <c r="M43" s="13"/>
      <c r="N43" s="13"/>
      <c r="O43" s="13"/>
      <c r="P43" s="13"/>
      <c r="Q43" s="13">
        <v>1.0399E7</v>
      </c>
      <c r="R43" s="14">
        <f t="shared" si="1"/>
        <v>10399000</v>
      </c>
      <c r="S43" s="15">
        <f t="shared" si="2"/>
        <v>10399000</v>
      </c>
      <c r="T43" s="15">
        <f t="shared" si="3"/>
        <v>10399000</v>
      </c>
      <c r="U43" s="16">
        <f t="shared" si="4"/>
        <v>0</v>
      </c>
      <c r="V43" s="17">
        <f t="shared" si="5"/>
        <v>1</v>
      </c>
      <c r="W43" s="14">
        <f t="shared" si="6"/>
        <v>22031.77966</v>
      </c>
      <c r="X43" s="35" t="s">
        <v>35</v>
      </c>
      <c r="Y43" s="44" t="s">
        <v>236</v>
      </c>
    </row>
    <row r="44" ht="15.0" hidden="1" customHeight="1">
      <c r="A44" s="35">
        <v>40.0</v>
      </c>
      <c r="B44" s="33" t="s">
        <v>228</v>
      </c>
      <c r="C44" s="34" t="s">
        <v>237</v>
      </c>
      <c r="D44" s="34"/>
      <c r="E44" s="34" t="s">
        <v>30</v>
      </c>
      <c r="F44" s="17">
        <v>472.0</v>
      </c>
      <c r="G44" s="12"/>
      <c r="H44" s="35" t="s">
        <v>31</v>
      </c>
      <c r="I44" s="35" t="s">
        <v>32</v>
      </c>
      <c r="J44" s="34" t="s">
        <v>238</v>
      </c>
      <c r="K44" s="34" t="s">
        <v>239</v>
      </c>
      <c r="L44" s="13">
        <v>1.0149E7</v>
      </c>
      <c r="M44" s="13"/>
      <c r="N44" s="13"/>
      <c r="O44" s="13"/>
      <c r="P44" s="13"/>
      <c r="Q44" s="13">
        <v>9569000.0</v>
      </c>
      <c r="R44" s="14">
        <f t="shared" si="1"/>
        <v>9859000</v>
      </c>
      <c r="S44" s="15">
        <f t="shared" si="2"/>
        <v>9569000</v>
      </c>
      <c r="T44" s="15">
        <f t="shared" si="3"/>
        <v>10149000</v>
      </c>
      <c r="U44" s="16">
        <f t="shared" si="4"/>
        <v>0.06061239419</v>
      </c>
      <c r="V44" s="17">
        <f t="shared" si="5"/>
        <v>2</v>
      </c>
      <c r="W44" s="14">
        <f t="shared" si="6"/>
        <v>20887.71186</v>
      </c>
      <c r="X44" s="35" t="s">
        <v>35</v>
      </c>
      <c r="Y44" s="44" t="s">
        <v>240</v>
      </c>
    </row>
    <row r="45" ht="15.0" hidden="1" customHeight="1">
      <c r="A45" s="35">
        <v>41.0</v>
      </c>
      <c r="B45" s="33" t="s">
        <v>228</v>
      </c>
      <c r="C45" s="34" t="s">
        <v>241</v>
      </c>
      <c r="D45" s="34"/>
      <c r="E45" s="34" t="s">
        <v>72</v>
      </c>
      <c r="F45" s="12"/>
      <c r="G45" s="12"/>
      <c r="H45" s="35" t="s">
        <v>31</v>
      </c>
      <c r="I45" s="35" t="s">
        <v>32</v>
      </c>
      <c r="J45" s="34" t="s">
        <v>242</v>
      </c>
      <c r="K45" s="34" t="s">
        <v>243</v>
      </c>
      <c r="L45" s="13"/>
      <c r="M45" s="13"/>
      <c r="N45" s="13"/>
      <c r="O45" s="13"/>
      <c r="P45" s="13"/>
      <c r="Q45" s="13">
        <v>1.5456122E7</v>
      </c>
      <c r="R45" s="14">
        <f t="shared" si="1"/>
        <v>15456122</v>
      </c>
      <c r="S45" s="15">
        <f t="shared" si="2"/>
        <v>15456122</v>
      </c>
      <c r="T45" s="15">
        <f t="shared" si="3"/>
        <v>15456122</v>
      </c>
      <c r="U45" s="16">
        <f t="shared" si="4"/>
        <v>0</v>
      </c>
      <c r="V45" s="17">
        <f t="shared" si="5"/>
        <v>1</v>
      </c>
      <c r="W45" s="14" t="str">
        <f t="shared" si="6"/>
        <v/>
      </c>
      <c r="X45" s="35" t="s">
        <v>35</v>
      </c>
      <c r="Y45" s="44" t="s">
        <v>244</v>
      </c>
    </row>
    <row r="46" ht="15.0" hidden="1" customHeight="1">
      <c r="A46" s="35">
        <v>42.0</v>
      </c>
      <c r="B46" s="33" t="s">
        <v>228</v>
      </c>
      <c r="C46" s="34" t="s">
        <v>245</v>
      </c>
      <c r="D46" s="34"/>
      <c r="E46" s="34" t="s">
        <v>112</v>
      </c>
      <c r="F46" s="17">
        <v>656.0</v>
      </c>
      <c r="G46" s="12"/>
      <c r="H46" s="35" t="s">
        <v>31</v>
      </c>
      <c r="I46" s="35" t="s">
        <v>32</v>
      </c>
      <c r="J46" s="34" t="s">
        <v>246</v>
      </c>
      <c r="K46" s="34" t="s">
        <v>247</v>
      </c>
      <c r="L46" s="13"/>
      <c r="M46" s="13"/>
      <c r="N46" s="13"/>
      <c r="O46" s="13"/>
      <c r="P46" s="13"/>
      <c r="Q46" s="13">
        <v>1.1090817E7</v>
      </c>
      <c r="R46" s="14">
        <f t="shared" si="1"/>
        <v>11090817</v>
      </c>
      <c r="S46" s="15">
        <f t="shared" si="2"/>
        <v>11090817</v>
      </c>
      <c r="T46" s="15">
        <f t="shared" si="3"/>
        <v>11090817</v>
      </c>
      <c r="U46" s="16">
        <f t="shared" si="4"/>
        <v>0</v>
      </c>
      <c r="V46" s="17">
        <f t="shared" si="5"/>
        <v>1</v>
      </c>
      <c r="W46" s="14">
        <f t="shared" si="6"/>
        <v>16906.73323</v>
      </c>
      <c r="X46" s="35" t="s">
        <v>35</v>
      </c>
      <c r="Y46" s="44" t="s">
        <v>248</v>
      </c>
    </row>
    <row r="47" ht="15.0" hidden="1" customHeight="1">
      <c r="A47" s="35">
        <v>43.0</v>
      </c>
      <c r="B47" s="33" t="s">
        <v>228</v>
      </c>
      <c r="C47" s="34" t="s">
        <v>249</v>
      </c>
      <c r="D47" s="34"/>
      <c r="E47" s="34" t="s">
        <v>112</v>
      </c>
      <c r="F47" s="17">
        <v>613.0</v>
      </c>
      <c r="G47" s="12"/>
      <c r="H47" s="35" t="s">
        <v>31</v>
      </c>
      <c r="I47" s="35" t="s">
        <v>32</v>
      </c>
      <c r="J47" s="34" t="s">
        <v>246</v>
      </c>
      <c r="K47" s="34" t="s">
        <v>250</v>
      </c>
      <c r="L47" s="13"/>
      <c r="M47" s="13"/>
      <c r="N47" s="13"/>
      <c r="O47" s="13"/>
      <c r="P47" s="13"/>
      <c r="Q47" s="13">
        <v>1.0815306E7</v>
      </c>
      <c r="R47" s="14">
        <f t="shared" si="1"/>
        <v>10815306</v>
      </c>
      <c r="S47" s="15">
        <f t="shared" si="2"/>
        <v>10815306</v>
      </c>
      <c r="T47" s="15">
        <f t="shared" si="3"/>
        <v>10815306</v>
      </c>
      <c r="U47" s="16">
        <f t="shared" si="4"/>
        <v>0</v>
      </c>
      <c r="V47" s="17">
        <f t="shared" si="5"/>
        <v>1</v>
      </c>
      <c r="W47" s="14">
        <f t="shared" si="6"/>
        <v>17643.2398</v>
      </c>
      <c r="X47" s="35" t="s">
        <v>35</v>
      </c>
      <c r="Y47" s="44" t="s">
        <v>248</v>
      </c>
    </row>
    <row r="48" ht="15.0" hidden="1" customHeight="1">
      <c r="A48" s="35">
        <v>44.0</v>
      </c>
      <c r="B48" s="33" t="s">
        <v>228</v>
      </c>
      <c r="C48" s="34" t="s">
        <v>251</v>
      </c>
      <c r="D48" s="34"/>
      <c r="E48" s="34" t="s">
        <v>112</v>
      </c>
      <c r="F48" s="17">
        <v>656.0</v>
      </c>
      <c r="G48" s="12"/>
      <c r="H48" s="35" t="s">
        <v>56</v>
      </c>
      <c r="I48" s="35" t="s">
        <v>32</v>
      </c>
      <c r="J48" s="34" t="s">
        <v>252</v>
      </c>
      <c r="K48" s="34" t="s">
        <v>253</v>
      </c>
      <c r="L48" s="13"/>
      <c r="M48" s="13"/>
      <c r="N48" s="13"/>
      <c r="O48" s="13"/>
      <c r="P48" s="13"/>
      <c r="Q48" s="13">
        <v>9998980.0</v>
      </c>
      <c r="R48" s="14">
        <f t="shared" si="1"/>
        <v>9998980</v>
      </c>
      <c r="S48" s="15">
        <f t="shared" si="2"/>
        <v>9998980</v>
      </c>
      <c r="T48" s="15">
        <f t="shared" si="3"/>
        <v>9998980</v>
      </c>
      <c r="U48" s="16">
        <f t="shared" si="4"/>
        <v>0</v>
      </c>
      <c r="V48" s="17">
        <f t="shared" si="5"/>
        <v>1</v>
      </c>
      <c r="W48" s="14">
        <f t="shared" si="6"/>
        <v>15242.34756</v>
      </c>
      <c r="X48" s="35" t="s">
        <v>35</v>
      </c>
      <c r="Y48" s="44" t="s">
        <v>254</v>
      </c>
    </row>
    <row r="49" ht="15.0" hidden="1" customHeight="1">
      <c r="A49" s="35">
        <v>45.0</v>
      </c>
      <c r="B49" s="33" t="s">
        <v>228</v>
      </c>
      <c r="C49" s="34" t="s">
        <v>255</v>
      </c>
      <c r="D49" s="34"/>
      <c r="E49" s="34" t="s">
        <v>112</v>
      </c>
      <c r="F49" s="12"/>
      <c r="G49" s="12"/>
      <c r="H49" s="35" t="s">
        <v>31</v>
      </c>
      <c r="I49" s="35" t="s">
        <v>32</v>
      </c>
      <c r="J49" s="34" t="s">
        <v>256</v>
      </c>
      <c r="K49" s="34" t="s">
        <v>257</v>
      </c>
      <c r="L49" s="13"/>
      <c r="M49" s="13"/>
      <c r="N49" s="13"/>
      <c r="O49" s="13"/>
      <c r="P49" s="13"/>
      <c r="Q49" s="13">
        <v>5729000.0</v>
      </c>
      <c r="R49" s="14">
        <f t="shared" si="1"/>
        <v>5729000</v>
      </c>
      <c r="S49" s="15">
        <f t="shared" si="2"/>
        <v>5729000</v>
      </c>
      <c r="T49" s="15">
        <f t="shared" si="3"/>
        <v>5729000</v>
      </c>
      <c r="U49" s="16">
        <f t="shared" si="4"/>
        <v>0</v>
      </c>
      <c r="V49" s="17">
        <f t="shared" si="5"/>
        <v>1</v>
      </c>
      <c r="W49" s="14" t="str">
        <f t="shared" si="6"/>
        <v/>
      </c>
      <c r="X49" s="35" t="s">
        <v>35</v>
      </c>
      <c r="Y49" s="44" t="s">
        <v>258</v>
      </c>
    </row>
    <row r="50" ht="15.0" hidden="1" customHeight="1">
      <c r="A50" s="35">
        <v>46.0</v>
      </c>
      <c r="B50" s="33" t="s">
        <v>228</v>
      </c>
      <c r="C50" s="34" t="s">
        <v>259</v>
      </c>
      <c r="D50" s="34"/>
      <c r="E50" s="34" t="s">
        <v>112</v>
      </c>
      <c r="F50" s="17">
        <v>256.0</v>
      </c>
      <c r="G50" s="12"/>
      <c r="H50" s="35" t="s">
        <v>31</v>
      </c>
      <c r="I50" s="35" t="s">
        <v>32</v>
      </c>
      <c r="J50" s="34" t="s">
        <v>32</v>
      </c>
      <c r="K50" s="34" t="s">
        <v>168</v>
      </c>
      <c r="L50" s="13">
        <v>5119000.0</v>
      </c>
      <c r="M50" s="13"/>
      <c r="N50" s="13"/>
      <c r="O50" s="13"/>
      <c r="P50" s="13"/>
      <c r="Q50" s="13">
        <v>4866326.0</v>
      </c>
      <c r="R50" s="14">
        <f t="shared" si="1"/>
        <v>4992663</v>
      </c>
      <c r="S50" s="15">
        <f t="shared" si="2"/>
        <v>4866326</v>
      </c>
      <c r="T50" s="15">
        <f t="shared" si="3"/>
        <v>5119000</v>
      </c>
      <c r="U50" s="16">
        <f t="shared" si="4"/>
        <v>0.05192294967</v>
      </c>
      <c r="V50" s="17">
        <f t="shared" si="5"/>
        <v>2</v>
      </c>
      <c r="W50" s="14">
        <f t="shared" si="6"/>
        <v>19502.58984</v>
      </c>
      <c r="X50" s="35" t="s">
        <v>35</v>
      </c>
      <c r="Y50" s="44" t="s">
        <v>260</v>
      </c>
    </row>
    <row r="51" ht="15.0" hidden="1" customHeight="1">
      <c r="A51" s="35">
        <v>47.0</v>
      </c>
      <c r="B51" s="33" t="s">
        <v>228</v>
      </c>
      <c r="C51" s="34" t="s">
        <v>261</v>
      </c>
      <c r="D51" s="34"/>
      <c r="E51" s="34" t="s">
        <v>112</v>
      </c>
      <c r="F51" s="17">
        <v>256.0</v>
      </c>
      <c r="G51" s="12"/>
      <c r="H51" s="35" t="s">
        <v>56</v>
      </c>
      <c r="I51" s="35" t="s">
        <v>262</v>
      </c>
      <c r="J51" s="34" t="s">
        <v>263</v>
      </c>
      <c r="K51" s="34" t="s">
        <v>264</v>
      </c>
      <c r="L51" s="13"/>
      <c r="M51" s="13"/>
      <c r="N51" s="13"/>
      <c r="O51" s="13"/>
      <c r="P51" s="13"/>
      <c r="Q51" s="13">
        <v>3171430.0</v>
      </c>
      <c r="R51" s="14">
        <f t="shared" si="1"/>
        <v>3171430</v>
      </c>
      <c r="S51" s="15">
        <f t="shared" si="2"/>
        <v>3171430</v>
      </c>
      <c r="T51" s="15">
        <f t="shared" si="3"/>
        <v>3171430</v>
      </c>
      <c r="U51" s="16">
        <f t="shared" si="4"/>
        <v>0</v>
      </c>
      <c r="V51" s="17">
        <f t="shared" si="5"/>
        <v>1</v>
      </c>
      <c r="W51" s="14">
        <f t="shared" si="6"/>
        <v>12388.39844</v>
      </c>
      <c r="X51" s="35" t="s">
        <v>35</v>
      </c>
      <c r="Y51" s="44" t="s">
        <v>248</v>
      </c>
    </row>
    <row r="52" ht="15.0" hidden="1" customHeight="1">
      <c r="A52" s="35">
        <v>48.0</v>
      </c>
      <c r="B52" s="33" t="s">
        <v>110</v>
      </c>
      <c r="C52" s="34" t="s">
        <v>265</v>
      </c>
      <c r="D52" s="34" t="s">
        <v>266</v>
      </c>
      <c r="E52" s="34" t="s">
        <v>72</v>
      </c>
      <c r="F52" s="17">
        <v>674.0</v>
      </c>
      <c r="G52" s="17">
        <v>617.0</v>
      </c>
      <c r="H52" s="35" t="s">
        <v>56</v>
      </c>
      <c r="I52" s="35" t="s">
        <v>32</v>
      </c>
      <c r="J52" s="34" t="s">
        <v>267</v>
      </c>
      <c r="K52" s="34" t="s">
        <v>268</v>
      </c>
      <c r="L52" s="13"/>
      <c r="M52" s="13"/>
      <c r="N52" s="13"/>
      <c r="O52" s="13"/>
      <c r="P52" s="13"/>
      <c r="Q52" s="13"/>
      <c r="R52" s="14" t="str">
        <f t="shared" si="1"/>
        <v/>
      </c>
      <c r="S52" s="15" t="str">
        <f t="shared" si="2"/>
        <v/>
      </c>
      <c r="T52" s="15" t="str">
        <f t="shared" si="3"/>
        <v/>
      </c>
      <c r="U52" s="16" t="str">
        <f t="shared" si="4"/>
        <v/>
      </c>
      <c r="V52" s="17">
        <f t="shared" si="5"/>
        <v>0</v>
      </c>
      <c r="W52" s="14">
        <f t="shared" si="6"/>
        <v>0</v>
      </c>
      <c r="X52" s="35" t="s">
        <v>35</v>
      </c>
      <c r="Y52" s="44" t="s">
        <v>269</v>
      </c>
    </row>
    <row r="53" ht="15.0" hidden="1" customHeight="1">
      <c r="A53" s="35">
        <v>49.0</v>
      </c>
      <c r="B53" s="33" t="s">
        <v>110</v>
      </c>
      <c r="C53" s="34" t="s">
        <v>116</v>
      </c>
      <c r="D53" s="34"/>
      <c r="E53" s="34" t="s">
        <v>72</v>
      </c>
      <c r="F53" s="17">
        <v>674.0</v>
      </c>
      <c r="G53" s="17">
        <v>617.0</v>
      </c>
      <c r="H53" s="35" t="s">
        <v>56</v>
      </c>
      <c r="I53" s="35" t="s">
        <v>32</v>
      </c>
      <c r="J53" s="34" t="s">
        <v>270</v>
      </c>
      <c r="K53" s="34" t="s">
        <v>271</v>
      </c>
      <c r="L53" s="13"/>
      <c r="M53" s="13"/>
      <c r="N53" s="13"/>
      <c r="O53" s="13"/>
      <c r="P53" s="13"/>
      <c r="Q53" s="13">
        <v>1.8233673E7</v>
      </c>
      <c r="R53" s="14">
        <f t="shared" si="1"/>
        <v>18233673</v>
      </c>
      <c r="S53" s="15">
        <f t="shared" si="2"/>
        <v>18233673</v>
      </c>
      <c r="T53" s="15">
        <f t="shared" si="3"/>
        <v>18233673</v>
      </c>
      <c r="U53" s="16">
        <f t="shared" si="4"/>
        <v>0</v>
      </c>
      <c r="V53" s="17">
        <f t="shared" si="5"/>
        <v>1</v>
      </c>
      <c r="W53" s="14">
        <f t="shared" si="6"/>
        <v>29552.14425</v>
      </c>
      <c r="X53" s="35" t="s">
        <v>35</v>
      </c>
      <c r="Y53" s="44" t="s">
        <v>272</v>
      </c>
    </row>
    <row r="54" ht="15.0" hidden="1" customHeight="1">
      <c r="A54" s="35">
        <v>50.0</v>
      </c>
      <c r="B54" s="33" t="s">
        <v>110</v>
      </c>
      <c r="C54" s="34" t="s">
        <v>117</v>
      </c>
      <c r="D54" s="34"/>
      <c r="E54" s="34" t="s">
        <v>72</v>
      </c>
      <c r="F54" s="17">
        <v>694.0</v>
      </c>
      <c r="G54" s="12"/>
      <c r="H54" s="35" t="s">
        <v>56</v>
      </c>
      <c r="I54" s="35" t="s">
        <v>32</v>
      </c>
      <c r="J54" s="34" t="s">
        <v>273</v>
      </c>
      <c r="K54" s="34" t="s">
        <v>274</v>
      </c>
      <c r="L54" s="13"/>
      <c r="M54" s="13"/>
      <c r="N54" s="13"/>
      <c r="O54" s="13"/>
      <c r="P54" s="13"/>
      <c r="Q54" s="13">
        <v>1.2029E7</v>
      </c>
      <c r="R54" s="14">
        <f t="shared" si="1"/>
        <v>12029000</v>
      </c>
      <c r="S54" s="15">
        <f t="shared" si="2"/>
        <v>12029000</v>
      </c>
      <c r="T54" s="15">
        <f t="shared" si="3"/>
        <v>12029000</v>
      </c>
      <c r="U54" s="16">
        <f t="shared" si="4"/>
        <v>0</v>
      </c>
      <c r="V54" s="17">
        <f t="shared" si="5"/>
        <v>1</v>
      </c>
      <c r="W54" s="14">
        <f t="shared" si="6"/>
        <v>17332.85303</v>
      </c>
      <c r="X54" s="35" t="s">
        <v>35</v>
      </c>
      <c r="Y54" s="44" t="s">
        <v>275</v>
      </c>
    </row>
    <row r="55" ht="15.0" hidden="1" customHeight="1">
      <c r="A55" s="35">
        <v>51.0</v>
      </c>
      <c r="B55" s="33" t="s">
        <v>110</v>
      </c>
      <c r="C55" s="34" t="s">
        <v>276</v>
      </c>
      <c r="D55" s="34"/>
      <c r="E55" s="34" t="s">
        <v>30</v>
      </c>
      <c r="F55" s="17">
        <v>570.0</v>
      </c>
      <c r="G55" s="17">
        <v>427.0</v>
      </c>
      <c r="H55" s="35" t="s">
        <v>56</v>
      </c>
      <c r="I55" s="35" t="s">
        <v>32</v>
      </c>
      <c r="J55" s="34" t="s">
        <v>270</v>
      </c>
      <c r="K55" s="34" t="s">
        <v>277</v>
      </c>
      <c r="L55" s="13"/>
      <c r="M55" s="13"/>
      <c r="N55" s="13"/>
      <c r="O55" s="13"/>
      <c r="P55" s="13"/>
      <c r="Q55" s="13"/>
      <c r="R55" s="14" t="str">
        <f t="shared" si="1"/>
        <v/>
      </c>
      <c r="S55" s="15" t="str">
        <f t="shared" si="2"/>
        <v/>
      </c>
      <c r="T55" s="15" t="str">
        <f t="shared" si="3"/>
        <v/>
      </c>
      <c r="U55" s="16" t="str">
        <f t="shared" si="4"/>
        <v/>
      </c>
      <c r="V55" s="17">
        <f t="shared" si="5"/>
        <v>0</v>
      </c>
      <c r="W55" s="14">
        <f t="shared" si="6"/>
        <v>0</v>
      </c>
      <c r="X55" s="35" t="s">
        <v>35</v>
      </c>
      <c r="Y55" s="44" t="s">
        <v>278</v>
      </c>
    </row>
    <row r="56" ht="15.0" hidden="1" customHeight="1">
      <c r="A56" s="35">
        <v>52.0</v>
      </c>
      <c r="B56" s="33" t="s">
        <v>110</v>
      </c>
      <c r="C56" s="34" t="s">
        <v>115</v>
      </c>
      <c r="D56" s="34"/>
      <c r="E56" s="34" t="s">
        <v>112</v>
      </c>
      <c r="F56" s="17">
        <v>287.0</v>
      </c>
      <c r="G56" s="17">
        <v>266.0</v>
      </c>
      <c r="H56" s="35" t="s">
        <v>56</v>
      </c>
      <c r="I56" s="35" t="s">
        <v>32</v>
      </c>
      <c r="J56" s="34" t="s">
        <v>279</v>
      </c>
      <c r="K56" s="34" t="s">
        <v>150</v>
      </c>
      <c r="L56" s="13"/>
      <c r="M56" s="13"/>
      <c r="N56" s="13"/>
      <c r="O56" s="13"/>
      <c r="P56" s="13"/>
      <c r="Q56" s="13">
        <v>5329000.0</v>
      </c>
      <c r="R56" s="14">
        <f t="shared" si="1"/>
        <v>5329000</v>
      </c>
      <c r="S56" s="15">
        <f t="shared" si="2"/>
        <v>5329000</v>
      </c>
      <c r="T56" s="15">
        <f t="shared" si="3"/>
        <v>5329000</v>
      </c>
      <c r="U56" s="16">
        <f t="shared" si="4"/>
        <v>0</v>
      </c>
      <c r="V56" s="17">
        <f t="shared" si="5"/>
        <v>1</v>
      </c>
      <c r="W56" s="14">
        <f t="shared" si="6"/>
        <v>20033.83459</v>
      </c>
      <c r="X56" s="35" t="s">
        <v>35</v>
      </c>
      <c r="Y56" s="44" t="s">
        <v>280</v>
      </c>
    </row>
    <row r="57" ht="15.0" hidden="1" customHeight="1">
      <c r="A57" s="35">
        <v>53.0</v>
      </c>
      <c r="B57" s="33" t="s">
        <v>110</v>
      </c>
      <c r="C57" s="34" t="s">
        <v>111</v>
      </c>
      <c r="D57" s="34"/>
      <c r="E57" s="34" t="s">
        <v>112</v>
      </c>
      <c r="F57" s="17">
        <v>235.0</v>
      </c>
      <c r="G57" s="17">
        <v>217.0</v>
      </c>
      <c r="H57" s="35" t="s">
        <v>56</v>
      </c>
      <c r="I57" s="35" t="s">
        <v>32</v>
      </c>
      <c r="J57" s="34" t="s">
        <v>281</v>
      </c>
      <c r="K57" s="34" t="s">
        <v>282</v>
      </c>
      <c r="L57" s="13">
        <v>4935666.0</v>
      </c>
      <c r="M57" s="13"/>
      <c r="N57" s="13"/>
      <c r="O57" s="13"/>
      <c r="P57" s="13"/>
      <c r="Q57" s="13">
        <v>4419000.0</v>
      </c>
      <c r="R57" s="14">
        <f t="shared" si="1"/>
        <v>4677333</v>
      </c>
      <c r="S57" s="15">
        <f t="shared" si="2"/>
        <v>4419000</v>
      </c>
      <c r="T57" s="15">
        <f t="shared" si="3"/>
        <v>4935666</v>
      </c>
      <c r="U57" s="16">
        <f t="shared" si="4"/>
        <v>0.1169192125</v>
      </c>
      <c r="V57" s="17">
        <f t="shared" si="5"/>
        <v>2</v>
      </c>
      <c r="W57" s="14">
        <f t="shared" si="6"/>
        <v>21554.52995</v>
      </c>
      <c r="X57" s="35" t="s">
        <v>35</v>
      </c>
      <c r="Y57" s="44" t="s">
        <v>283</v>
      </c>
    </row>
    <row r="58" ht="15.0" hidden="1" customHeight="1">
      <c r="A58" s="35">
        <v>54.0</v>
      </c>
      <c r="B58" s="33" t="s">
        <v>118</v>
      </c>
      <c r="C58" s="34" t="s">
        <v>134</v>
      </c>
      <c r="D58" s="34" t="s">
        <v>284</v>
      </c>
      <c r="E58" s="34" t="s">
        <v>72</v>
      </c>
      <c r="F58" s="17">
        <v>641.0</v>
      </c>
      <c r="G58" s="12"/>
      <c r="H58" s="35" t="s">
        <v>56</v>
      </c>
      <c r="I58" s="35" t="s">
        <v>32</v>
      </c>
      <c r="J58" s="34" t="s">
        <v>285</v>
      </c>
      <c r="K58" s="34" t="s">
        <v>286</v>
      </c>
      <c r="L58" s="13"/>
      <c r="M58" s="13"/>
      <c r="N58" s="13"/>
      <c r="O58" s="13"/>
      <c r="P58" s="13"/>
      <c r="Q58" s="13">
        <v>3.0E7</v>
      </c>
      <c r="R58" s="14">
        <f t="shared" si="1"/>
        <v>30000000</v>
      </c>
      <c r="S58" s="15">
        <f t="shared" si="2"/>
        <v>30000000</v>
      </c>
      <c r="T58" s="15">
        <f t="shared" si="3"/>
        <v>30000000</v>
      </c>
      <c r="U58" s="16">
        <f t="shared" si="4"/>
        <v>0</v>
      </c>
      <c r="V58" s="17">
        <f t="shared" si="5"/>
        <v>1</v>
      </c>
      <c r="W58" s="14">
        <f t="shared" si="6"/>
        <v>46801.87207</v>
      </c>
      <c r="X58" s="35" t="s">
        <v>35</v>
      </c>
      <c r="Y58" s="44" t="s">
        <v>287</v>
      </c>
    </row>
    <row r="59" ht="15.0" hidden="1" customHeight="1">
      <c r="A59" s="35">
        <v>55.0</v>
      </c>
      <c r="B59" s="33" t="s">
        <v>118</v>
      </c>
      <c r="C59" s="34" t="s">
        <v>135</v>
      </c>
      <c r="D59" s="34"/>
      <c r="E59" s="34" t="s">
        <v>72</v>
      </c>
      <c r="F59" s="17">
        <v>660.0</v>
      </c>
      <c r="G59" s="12"/>
      <c r="H59" s="35" t="s">
        <v>56</v>
      </c>
      <c r="I59" s="35" t="s">
        <v>32</v>
      </c>
      <c r="J59" s="34"/>
      <c r="K59" s="34" t="s">
        <v>288</v>
      </c>
      <c r="L59" s="13">
        <v>1.7799E7</v>
      </c>
      <c r="M59" s="13"/>
      <c r="N59" s="13"/>
      <c r="O59" s="13"/>
      <c r="P59" s="13"/>
      <c r="Q59" s="13"/>
      <c r="R59" s="14">
        <f t="shared" si="1"/>
        <v>17799000</v>
      </c>
      <c r="S59" s="15">
        <f t="shared" si="2"/>
        <v>17799000</v>
      </c>
      <c r="T59" s="15">
        <f t="shared" si="3"/>
        <v>17799000</v>
      </c>
      <c r="U59" s="16">
        <f t="shared" si="4"/>
        <v>0</v>
      </c>
      <c r="V59" s="17">
        <f t="shared" si="5"/>
        <v>1</v>
      </c>
      <c r="W59" s="14">
        <f t="shared" si="6"/>
        <v>26968.18182</v>
      </c>
      <c r="X59" s="35" t="s">
        <v>35</v>
      </c>
      <c r="Y59" s="44" t="s">
        <v>289</v>
      </c>
    </row>
    <row r="60" ht="15.0" hidden="1" customHeight="1">
      <c r="A60" s="35">
        <v>56.0</v>
      </c>
      <c r="B60" s="33" t="s">
        <v>118</v>
      </c>
      <c r="C60" s="34" t="s">
        <v>136</v>
      </c>
      <c r="D60" s="34"/>
      <c r="E60" s="34" t="s">
        <v>72</v>
      </c>
      <c r="F60" s="17">
        <v>680.0</v>
      </c>
      <c r="G60" s="12"/>
      <c r="H60" s="35" t="s">
        <v>56</v>
      </c>
      <c r="I60" s="35" t="s">
        <v>32</v>
      </c>
      <c r="J60" s="34"/>
      <c r="K60" s="34" t="s">
        <v>290</v>
      </c>
      <c r="L60" s="13">
        <v>1.4099E7</v>
      </c>
      <c r="M60" s="13"/>
      <c r="N60" s="13"/>
      <c r="O60" s="13"/>
      <c r="P60" s="13"/>
      <c r="Q60" s="13"/>
      <c r="R60" s="14">
        <f t="shared" si="1"/>
        <v>14099000</v>
      </c>
      <c r="S60" s="15">
        <f t="shared" si="2"/>
        <v>14099000</v>
      </c>
      <c r="T60" s="15">
        <f t="shared" si="3"/>
        <v>14099000</v>
      </c>
      <c r="U60" s="16">
        <f t="shared" si="4"/>
        <v>0</v>
      </c>
      <c r="V60" s="17">
        <f t="shared" si="5"/>
        <v>1</v>
      </c>
      <c r="W60" s="14">
        <f t="shared" si="6"/>
        <v>20733.82353</v>
      </c>
      <c r="X60" s="35" t="s">
        <v>35</v>
      </c>
      <c r="Y60" s="44" t="s">
        <v>291</v>
      </c>
    </row>
    <row r="61" ht="15.0" hidden="1" customHeight="1">
      <c r="A61" s="35">
        <v>57.0</v>
      </c>
      <c r="B61" s="33" t="s">
        <v>118</v>
      </c>
      <c r="C61" s="34" t="s">
        <v>130</v>
      </c>
      <c r="D61" s="34"/>
      <c r="E61" s="34" t="s">
        <v>72</v>
      </c>
      <c r="F61" s="17">
        <v>570.0</v>
      </c>
      <c r="G61" s="12"/>
      <c r="H61" s="35" t="s">
        <v>56</v>
      </c>
      <c r="I61" s="35" t="s">
        <v>32</v>
      </c>
      <c r="J61" s="34"/>
      <c r="K61" s="34" t="s">
        <v>292</v>
      </c>
      <c r="L61" s="13">
        <v>1.0249E7</v>
      </c>
      <c r="M61" s="13"/>
      <c r="N61" s="13"/>
      <c r="O61" s="13"/>
      <c r="P61" s="13"/>
      <c r="Q61" s="13"/>
      <c r="R61" s="14">
        <f t="shared" si="1"/>
        <v>10249000</v>
      </c>
      <c r="S61" s="15">
        <f t="shared" si="2"/>
        <v>10249000</v>
      </c>
      <c r="T61" s="15">
        <f t="shared" si="3"/>
        <v>10249000</v>
      </c>
      <c r="U61" s="16">
        <f t="shared" si="4"/>
        <v>0</v>
      </c>
      <c r="V61" s="17">
        <f t="shared" si="5"/>
        <v>1</v>
      </c>
      <c r="W61" s="14">
        <f t="shared" si="6"/>
        <v>17980.70175</v>
      </c>
      <c r="X61" s="35" t="s">
        <v>35</v>
      </c>
      <c r="Y61" s="44" t="s">
        <v>293</v>
      </c>
    </row>
    <row r="62" ht="15.0" hidden="1" customHeight="1">
      <c r="A62" s="35">
        <v>58.0</v>
      </c>
      <c r="B62" s="33" t="s">
        <v>118</v>
      </c>
      <c r="C62" s="34" t="s">
        <v>294</v>
      </c>
      <c r="D62" s="34" t="s">
        <v>295</v>
      </c>
      <c r="E62" s="34" t="s">
        <v>30</v>
      </c>
      <c r="F62" s="17">
        <v>681.0</v>
      </c>
      <c r="G62" s="12"/>
      <c r="H62" s="35" t="s">
        <v>31</v>
      </c>
      <c r="I62" s="35" t="s">
        <v>32</v>
      </c>
      <c r="J62" s="34" t="s">
        <v>296</v>
      </c>
      <c r="K62" s="34" t="s">
        <v>297</v>
      </c>
      <c r="L62" s="13"/>
      <c r="M62" s="13"/>
      <c r="N62" s="13"/>
      <c r="O62" s="13"/>
      <c r="P62" s="13"/>
      <c r="Q62" s="13"/>
      <c r="R62" s="14" t="str">
        <f t="shared" si="1"/>
        <v/>
      </c>
      <c r="S62" s="15" t="str">
        <f t="shared" si="2"/>
        <v/>
      </c>
      <c r="T62" s="15" t="str">
        <f t="shared" si="3"/>
        <v/>
      </c>
      <c r="U62" s="16" t="str">
        <f t="shared" si="4"/>
        <v/>
      </c>
      <c r="V62" s="17">
        <f t="shared" si="5"/>
        <v>0</v>
      </c>
      <c r="W62" s="14">
        <f t="shared" si="6"/>
        <v>0</v>
      </c>
      <c r="X62" s="35" t="s">
        <v>35</v>
      </c>
      <c r="Y62" s="44" t="s">
        <v>298</v>
      </c>
    </row>
    <row r="63" ht="15.0" hidden="1" customHeight="1">
      <c r="A63" s="35">
        <v>59.0</v>
      </c>
      <c r="B63" s="33" t="s">
        <v>118</v>
      </c>
      <c r="C63" s="34" t="s">
        <v>129</v>
      </c>
      <c r="D63" s="34"/>
      <c r="E63" s="34" t="s">
        <v>30</v>
      </c>
      <c r="F63" s="17">
        <v>511.0</v>
      </c>
      <c r="G63" s="12"/>
      <c r="H63" s="35" t="s">
        <v>56</v>
      </c>
      <c r="I63" s="35" t="s">
        <v>32</v>
      </c>
      <c r="J63" s="34"/>
      <c r="K63" s="34" t="s">
        <v>299</v>
      </c>
      <c r="L63" s="13">
        <v>1.4099E7</v>
      </c>
      <c r="M63" s="13"/>
      <c r="N63" s="13"/>
      <c r="O63" s="13"/>
      <c r="P63" s="13"/>
      <c r="Q63" s="13"/>
      <c r="R63" s="14">
        <f t="shared" si="1"/>
        <v>14099000</v>
      </c>
      <c r="S63" s="15">
        <f t="shared" si="2"/>
        <v>14099000</v>
      </c>
      <c r="T63" s="15">
        <f t="shared" si="3"/>
        <v>14099000</v>
      </c>
      <c r="U63" s="16">
        <f t="shared" si="4"/>
        <v>0</v>
      </c>
      <c r="V63" s="17">
        <f t="shared" si="5"/>
        <v>1</v>
      </c>
      <c r="W63" s="14">
        <f t="shared" si="6"/>
        <v>27590.99804</v>
      </c>
      <c r="X63" s="35" t="s">
        <v>35</v>
      </c>
      <c r="Y63" s="44" t="s">
        <v>300</v>
      </c>
    </row>
    <row r="64" ht="15.0" hidden="1" customHeight="1">
      <c r="A64" s="35">
        <v>60.0</v>
      </c>
      <c r="B64" s="33" t="s">
        <v>118</v>
      </c>
      <c r="C64" s="34" t="s">
        <v>127</v>
      </c>
      <c r="D64" s="34" t="s">
        <v>301</v>
      </c>
      <c r="E64" s="34" t="s">
        <v>112</v>
      </c>
      <c r="F64" s="17">
        <v>393.0</v>
      </c>
      <c r="G64" s="12"/>
      <c r="H64" s="35" t="s">
        <v>56</v>
      </c>
      <c r="I64" s="35" t="s">
        <v>32</v>
      </c>
      <c r="J64" s="34" t="s">
        <v>302</v>
      </c>
      <c r="K64" s="34" t="s">
        <v>303</v>
      </c>
      <c r="L64" s="13"/>
      <c r="M64" s="13"/>
      <c r="N64" s="13"/>
      <c r="O64" s="13"/>
      <c r="P64" s="13"/>
      <c r="Q64" s="13">
        <v>8294898.0</v>
      </c>
      <c r="R64" s="14">
        <f t="shared" si="1"/>
        <v>8294898</v>
      </c>
      <c r="S64" s="15">
        <f t="shared" si="2"/>
        <v>8294898</v>
      </c>
      <c r="T64" s="15">
        <f t="shared" si="3"/>
        <v>8294898</v>
      </c>
      <c r="U64" s="16">
        <f t="shared" si="4"/>
        <v>0</v>
      </c>
      <c r="V64" s="17">
        <f t="shared" si="5"/>
        <v>1</v>
      </c>
      <c r="W64" s="14">
        <f t="shared" si="6"/>
        <v>21106.61069</v>
      </c>
      <c r="X64" s="35" t="s">
        <v>35</v>
      </c>
      <c r="Y64" s="44" t="s">
        <v>248</v>
      </c>
    </row>
    <row r="65" ht="15.0" hidden="1" customHeight="1">
      <c r="A65" s="35">
        <v>61.0</v>
      </c>
      <c r="B65" s="33" t="s">
        <v>118</v>
      </c>
      <c r="C65" s="34" t="s">
        <v>128</v>
      </c>
      <c r="D65" s="34" t="s">
        <v>304</v>
      </c>
      <c r="E65" s="34" t="s">
        <v>112</v>
      </c>
      <c r="F65" s="17">
        <v>393.0</v>
      </c>
      <c r="G65" s="12"/>
      <c r="H65" s="35" t="s">
        <v>56</v>
      </c>
      <c r="I65" s="35" t="s">
        <v>32</v>
      </c>
      <c r="J65" s="34" t="s">
        <v>305</v>
      </c>
      <c r="K65" s="34" t="s">
        <v>306</v>
      </c>
      <c r="L65" s="13"/>
      <c r="M65" s="13"/>
      <c r="N65" s="13"/>
      <c r="O65" s="13"/>
      <c r="P65" s="13"/>
      <c r="Q65" s="13">
        <v>8866326.0</v>
      </c>
      <c r="R65" s="14">
        <f t="shared" si="1"/>
        <v>8866326</v>
      </c>
      <c r="S65" s="15">
        <f t="shared" si="2"/>
        <v>8866326</v>
      </c>
      <c r="T65" s="15">
        <f t="shared" si="3"/>
        <v>8866326</v>
      </c>
      <c r="U65" s="16">
        <f t="shared" si="4"/>
        <v>0</v>
      </c>
      <c r="V65" s="17">
        <f t="shared" si="5"/>
        <v>1</v>
      </c>
      <c r="W65" s="14">
        <f t="shared" si="6"/>
        <v>22560.62595</v>
      </c>
      <c r="X65" s="35" t="s">
        <v>35</v>
      </c>
      <c r="Y65" s="44" t="s">
        <v>248</v>
      </c>
    </row>
    <row r="66" ht="15.0" hidden="1" customHeight="1">
      <c r="A66" s="35">
        <v>62.0</v>
      </c>
      <c r="B66" s="33" t="s">
        <v>118</v>
      </c>
      <c r="C66" s="34" t="s">
        <v>125</v>
      </c>
      <c r="D66" s="34" t="s">
        <v>301</v>
      </c>
      <c r="E66" s="34" t="s">
        <v>112</v>
      </c>
      <c r="F66" s="17">
        <v>348.0</v>
      </c>
      <c r="G66" s="12"/>
      <c r="H66" s="35" t="s">
        <v>56</v>
      </c>
      <c r="I66" s="35" t="s">
        <v>32</v>
      </c>
      <c r="J66" s="34" t="s">
        <v>301</v>
      </c>
      <c r="K66" s="34" t="s">
        <v>303</v>
      </c>
      <c r="L66" s="13"/>
      <c r="M66" s="13"/>
      <c r="N66" s="13"/>
      <c r="O66" s="13"/>
      <c r="P66" s="13"/>
      <c r="Q66" s="13">
        <v>7570408.0</v>
      </c>
      <c r="R66" s="14">
        <f t="shared" si="1"/>
        <v>7570408</v>
      </c>
      <c r="S66" s="15">
        <f t="shared" si="2"/>
        <v>7570408</v>
      </c>
      <c r="T66" s="15">
        <f t="shared" si="3"/>
        <v>7570408</v>
      </c>
      <c r="U66" s="16">
        <f t="shared" si="4"/>
        <v>0</v>
      </c>
      <c r="V66" s="17">
        <f t="shared" si="5"/>
        <v>1</v>
      </c>
      <c r="W66" s="14">
        <f t="shared" si="6"/>
        <v>21754.04598</v>
      </c>
      <c r="X66" s="35" t="s">
        <v>35</v>
      </c>
      <c r="Y66" s="44" t="s">
        <v>248</v>
      </c>
    </row>
    <row r="67" ht="15.0" hidden="1" customHeight="1">
      <c r="A67" s="35">
        <v>63.0</v>
      </c>
      <c r="B67" s="33" t="s">
        <v>118</v>
      </c>
      <c r="C67" s="34" t="s">
        <v>123</v>
      </c>
      <c r="D67" s="34"/>
      <c r="E67" s="34" t="s">
        <v>112</v>
      </c>
      <c r="F67" s="17">
        <v>255.0</v>
      </c>
      <c r="G67" s="12"/>
      <c r="H67" s="35" t="s">
        <v>56</v>
      </c>
      <c r="I67" s="35" t="s">
        <v>32</v>
      </c>
      <c r="J67" s="34"/>
      <c r="K67" s="34" t="s">
        <v>150</v>
      </c>
      <c r="L67" s="13">
        <v>6539000.0</v>
      </c>
      <c r="M67" s="13"/>
      <c r="N67" s="13"/>
      <c r="O67" s="13"/>
      <c r="P67" s="13"/>
      <c r="Q67" s="13"/>
      <c r="R67" s="14">
        <f t="shared" si="1"/>
        <v>6539000</v>
      </c>
      <c r="S67" s="15">
        <f t="shared" si="2"/>
        <v>6539000</v>
      </c>
      <c r="T67" s="15">
        <f t="shared" si="3"/>
        <v>6539000</v>
      </c>
      <c r="U67" s="16">
        <f t="shared" si="4"/>
        <v>0</v>
      </c>
      <c r="V67" s="17">
        <f t="shared" si="5"/>
        <v>1</v>
      </c>
      <c r="W67" s="14">
        <f t="shared" si="6"/>
        <v>25643.13725</v>
      </c>
      <c r="X67" s="35" t="s">
        <v>35</v>
      </c>
      <c r="Y67" s="44" t="s">
        <v>113</v>
      </c>
    </row>
    <row r="68" ht="15.0" hidden="1" customHeight="1">
      <c r="A68" s="35">
        <v>64.0</v>
      </c>
      <c r="B68" s="33" t="s">
        <v>118</v>
      </c>
      <c r="C68" s="34" t="s">
        <v>120</v>
      </c>
      <c r="D68" s="34"/>
      <c r="E68" s="34" t="s">
        <v>112</v>
      </c>
      <c r="F68" s="17">
        <v>234.0</v>
      </c>
      <c r="G68" s="12"/>
      <c r="H68" s="35" t="s">
        <v>56</v>
      </c>
      <c r="I68" s="35" t="s">
        <v>32</v>
      </c>
      <c r="J68" s="34"/>
      <c r="K68" s="34" t="s">
        <v>168</v>
      </c>
      <c r="L68" s="13">
        <v>5569000.0</v>
      </c>
      <c r="M68" s="13"/>
      <c r="N68" s="13"/>
      <c r="O68" s="13"/>
      <c r="P68" s="13"/>
      <c r="Q68" s="13"/>
      <c r="R68" s="14">
        <f t="shared" si="1"/>
        <v>5569000</v>
      </c>
      <c r="S68" s="15">
        <f t="shared" si="2"/>
        <v>5569000</v>
      </c>
      <c r="T68" s="15">
        <f t="shared" si="3"/>
        <v>5569000</v>
      </c>
      <c r="U68" s="16">
        <f t="shared" si="4"/>
        <v>0</v>
      </c>
      <c r="V68" s="17">
        <f t="shared" si="5"/>
        <v>1</v>
      </c>
      <c r="W68" s="14">
        <f t="shared" si="6"/>
        <v>23799.1453</v>
      </c>
      <c r="X68" s="35" t="s">
        <v>35</v>
      </c>
      <c r="Y68" s="44" t="s">
        <v>113</v>
      </c>
    </row>
    <row r="69" ht="15.0" hidden="1" customHeight="1">
      <c r="A69" s="35">
        <v>65.0</v>
      </c>
      <c r="B69" s="33" t="s">
        <v>307</v>
      </c>
      <c r="C69" s="34" t="s">
        <v>308</v>
      </c>
      <c r="D69" s="34"/>
      <c r="E69" s="34" t="s">
        <v>72</v>
      </c>
      <c r="F69" s="17">
        <v>558.0</v>
      </c>
      <c r="G69" s="12"/>
      <c r="H69" s="35" t="s">
        <v>56</v>
      </c>
      <c r="I69" s="35" t="s">
        <v>32</v>
      </c>
      <c r="J69" s="34" t="s">
        <v>309</v>
      </c>
      <c r="K69" s="34" t="s">
        <v>310</v>
      </c>
      <c r="L69" s="13">
        <v>6999000.0</v>
      </c>
      <c r="M69" s="13"/>
      <c r="N69" s="13"/>
      <c r="O69" s="13"/>
      <c r="P69" s="13"/>
      <c r="Q69" s="13"/>
      <c r="R69" s="14">
        <f t="shared" si="1"/>
        <v>6999000</v>
      </c>
      <c r="S69" s="15">
        <f t="shared" si="2"/>
        <v>6999000</v>
      </c>
      <c r="T69" s="15">
        <f t="shared" si="3"/>
        <v>6999000</v>
      </c>
      <c r="U69" s="16">
        <f t="shared" si="4"/>
        <v>0</v>
      </c>
      <c r="V69" s="17">
        <f t="shared" si="5"/>
        <v>1</v>
      </c>
      <c r="W69" s="14">
        <f t="shared" si="6"/>
        <v>12543.01075</v>
      </c>
      <c r="X69" s="35" t="s">
        <v>35</v>
      </c>
      <c r="Y69" s="44" t="s">
        <v>311</v>
      </c>
    </row>
    <row r="70" ht="15.0" hidden="1" customHeight="1">
      <c r="A70" s="35">
        <v>66.0</v>
      </c>
      <c r="B70" s="33" t="s">
        <v>307</v>
      </c>
      <c r="C70" s="34" t="s">
        <v>312</v>
      </c>
      <c r="D70" s="34"/>
      <c r="E70" s="34" t="s">
        <v>72</v>
      </c>
      <c r="F70" s="12"/>
      <c r="G70" s="12"/>
      <c r="H70" s="35" t="s">
        <v>56</v>
      </c>
      <c r="I70" s="35" t="s">
        <v>32</v>
      </c>
      <c r="J70" s="34" t="s">
        <v>313</v>
      </c>
      <c r="K70" s="34" t="s">
        <v>310</v>
      </c>
      <c r="L70" s="13"/>
      <c r="M70" s="13"/>
      <c r="N70" s="13"/>
      <c r="O70" s="13"/>
      <c r="P70" s="13"/>
      <c r="Q70" s="13">
        <v>5000000.0</v>
      </c>
      <c r="R70" s="14">
        <f t="shared" si="1"/>
        <v>5000000</v>
      </c>
      <c r="S70" s="15">
        <f t="shared" si="2"/>
        <v>5000000</v>
      </c>
      <c r="T70" s="15">
        <f t="shared" si="3"/>
        <v>5000000</v>
      </c>
      <c r="U70" s="16">
        <f t="shared" si="4"/>
        <v>0</v>
      </c>
      <c r="V70" s="17">
        <f t="shared" si="5"/>
        <v>1</v>
      </c>
      <c r="W70" s="14" t="str">
        <f t="shared" si="6"/>
        <v/>
      </c>
      <c r="X70" s="35" t="s">
        <v>35</v>
      </c>
      <c r="Y70" s="44" t="s">
        <v>314</v>
      </c>
    </row>
    <row r="71" ht="15.0" hidden="1" customHeight="1">
      <c r="A71" s="35">
        <v>67.0</v>
      </c>
      <c r="B71" s="33" t="s">
        <v>307</v>
      </c>
      <c r="C71" s="34" t="s">
        <v>315</v>
      </c>
      <c r="D71" s="34"/>
      <c r="E71" s="34" t="s">
        <v>30</v>
      </c>
      <c r="F71" s="17">
        <v>470.0</v>
      </c>
      <c r="G71" s="12"/>
      <c r="H71" s="35" t="s">
        <v>56</v>
      </c>
      <c r="I71" s="35" t="s">
        <v>32</v>
      </c>
      <c r="J71" s="34"/>
      <c r="K71" s="34" t="s">
        <v>316</v>
      </c>
      <c r="L71" s="13">
        <v>1.0499E7</v>
      </c>
      <c r="M71" s="13"/>
      <c r="N71" s="13"/>
      <c r="O71" s="13"/>
      <c r="P71" s="13"/>
      <c r="Q71" s="13"/>
      <c r="R71" s="14">
        <f t="shared" si="1"/>
        <v>10499000</v>
      </c>
      <c r="S71" s="15">
        <f t="shared" si="2"/>
        <v>10499000</v>
      </c>
      <c r="T71" s="15">
        <f t="shared" si="3"/>
        <v>10499000</v>
      </c>
      <c r="U71" s="16">
        <f t="shared" si="4"/>
        <v>0</v>
      </c>
      <c r="V71" s="17">
        <f t="shared" si="5"/>
        <v>1</v>
      </c>
      <c r="W71" s="14">
        <f t="shared" si="6"/>
        <v>22338.29787</v>
      </c>
      <c r="X71" s="35" t="s">
        <v>35</v>
      </c>
      <c r="Y71" s="44" t="s">
        <v>113</v>
      </c>
    </row>
    <row r="72" ht="15.0" hidden="1" customHeight="1">
      <c r="A72" s="35">
        <v>68.0</v>
      </c>
      <c r="B72" s="33" t="s">
        <v>307</v>
      </c>
      <c r="C72" s="34" t="s">
        <v>317</v>
      </c>
      <c r="D72" s="34"/>
      <c r="E72" s="34" t="s">
        <v>30</v>
      </c>
      <c r="F72" s="17">
        <v>407.0</v>
      </c>
      <c r="G72" s="12"/>
      <c r="H72" s="35" t="s">
        <v>56</v>
      </c>
      <c r="I72" s="35" t="s">
        <v>32</v>
      </c>
      <c r="J72" s="34"/>
      <c r="K72" s="34" t="s">
        <v>122</v>
      </c>
      <c r="L72" s="13">
        <v>7999000.0</v>
      </c>
      <c r="M72" s="13"/>
      <c r="N72" s="13"/>
      <c r="O72" s="13"/>
      <c r="P72" s="13"/>
      <c r="Q72" s="13"/>
      <c r="R72" s="14">
        <f t="shared" si="1"/>
        <v>7999000</v>
      </c>
      <c r="S72" s="15">
        <f t="shared" si="2"/>
        <v>7999000</v>
      </c>
      <c r="T72" s="15">
        <f t="shared" si="3"/>
        <v>7999000</v>
      </c>
      <c r="U72" s="16">
        <f t="shared" si="4"/>
        <v>0</v>
      </c>
      <c r="V72" s="17">
        <f t="shared" si="5"/>
        <v>1</v>
      </c>
      <c r="W72" s="14">
        <f t="shared" si="6"/>
        <v>19653.56265</v>
      </c>
      <c r="X72" s="35" t="s">
        <v>35</v>
      </c>
      <c r="Y72" s="44" t="s">
        <v>113</v>
      </c>
    </row>
    <row r="73" ht="15.0" hidden="1" customHeight="1">
      <c r="A73" s="35">
        <v>69.0</v>
      </c>
      <c r="B73" s="33" t="s">
        <v>307</v>
      </c>
      <c r="C73" s="34" t="s">
        <v>318</v>
      </c>
      <c r="D73" s="34" t="s">
        <v>318</v>
      </c>
      <c r="E73" s="34" t="s">
        <v>112</v>
      </c>
      <c r="F73" s="17">
        <v>473.0</v>
      </c>
      <c r="G73" s="12"/>
      <c r="H73" s="35" t="s">
        <v>56</v>
      </c>
      <c r="I73" s="35" t="s">
        <v>32</v>
      </c>
      <c r="J73" s="34" t="s">
        <v>319</v>
      </c>
      <c r="K73" s="34" t="s">
        <v>320</v>
      </c>
      <c r="L73" s="13"/>
      <c r="M73" s="13"/>
      <c r="N73" s="13"/>
      <c r="O73" s="13"/>
      <c r="P73" s="13"/>
      <c r="Q73" s="13">
        <v>4500000.0</v>
      </c>
      <c r="R73" s="14">
        <f t="shared" si="1"/>
        <v>4500000</v>
      </c>
      <c r="S73" s="15">
        <f t="shared" si="2"/>
        <v>4500000</v>
      </c>
      <c r="T73" s="15">
        <f t="shared" si="3"/>
        <v>4500000</v>
      </c>
      <c r="U73" s="16">
        <f t="shared" si="4"/>
        <v>0</v>
      </c>
      <c r="V73" s="17">
        <f t="shared" si="5"/>
        <v>1</v>
      </c>
      <c r="W73" s="14">
        <f t="shared" si="6"/>
        <v>9513.742072</v>
      </c>
      <c r="X73" s="35" t="s">
        <v>35</v>
      </c>
      <c r="Y73" s="44" t="s">
        <v>321</v>
      </c>
    </row>
    <row r="74" ht="15.0" hidden="1" customHeight="1">
      <c r="A74" s="35">
        <v>70.0</v>
      </c>
      <c r="B74" s="33" t="s">
        <v>322</v>
      </c>
      <c r="C74" s="34" t="s">
        <v>323</v>
      </c>
      <c r="D74" s="34" t="s">
        <v>324</v>
      </c>
      <c r="E74" s="34" t="s">
        <v>72</v>
      </c>
      <c r="F74" s="17">
        <v>600.0</v>
      </c>
      <c r="G74" s="12"/>
      <c r="H74" s="19"/>
      <c r="I74" s="35" t="s">
        <v>32</v>
      </c>
      <c r="J74" s="34"/>
      <c r="K74" s="34"/>
      <c r="L74" s="13">
        <v>1.4609E7</v>
      </c>
      <c r="M74" s="13"/>
      <c r="N74" s="13"/>
      <c r="O74" s="13"/>
      <c r="P74" s="13"/>
      <c r="Q74" s="13"/>
      <c r="R74" s="14">
        <f t="shared" si="1"/>
        <v>14609000</v>
      </c>
      <c r="S74" s="15">
        <f t="shared" si="2"/>
        <v>14609000</v>
      </c>
      <c r="T74" s="15">
        <f t="shared" si="3"/>
        <v>14609000</v>
      </c>
      <c r="U74" s="16">
        <f t="shared" si="4"/>
        <v>0</v>
      </c>
      <c r="V74" s="17">
        <f t="shared" si="5"/>
        <v>1</v>
      </c>
      <c r="W74" s="14">
        <f t="shared" si="6"/>
        <v>24348.33333</v>
      </c>
      <c r="X74" s="35" t="s">
        <v>35</v>
      </c>
      <c r="Y74" s="44" t="s">
        <v>113</v>
      </c>
    </row>
    <row r="75" ht="15.0" hidden="1" customHeight="1">
      <c r="A75" s="35">
        <v>71.0</v>
      </c>
      <c r="B75" s="33" t="s">
        <v>322</v>
      </c>
      <c r="C75" s="34" t="s">
        <v>325</v>
      </c>
      <c r="D75" s="34" t="s">
        <v>324</v>
      </c>
      <c r="E75" s="34" t="s">
        <v>72</v>
      </c>
      <c r="F75" s="17">
        <v>624.0</v>
      </c>
      <c r="G75" s="12"/>
      <c r="H75" s="19"/>
      <c r="I75" s="35" t="s">
        <v>32</v>
      </c>
      <c r="J75" s="34"/>
      <c r="K75" s="34"/>
      <c r="L75" s="13">
        <v>1.3149E7</v>
      </c>
      <c r="M75" s="13"/>
      <c r="N75" s="13"/>
      <c r="O75" s="13"/>
      <c r="P75" s="13"/>
      <c r="Q75" s="13"/>
      <c r="R75" s="14">
        <f t="shared" si="1"/>
        <v>13149000</v>
      </c>
      <c r="S75" s="15">
        <f t="shared" si="2"/>
        <v>13149000</v>
      </c>
      <c r="T75" s="15">
        <f t="shared" si="3"/>
        <v>13149000</v>
      </c>
      <c r="U75" s="16">
        <f t="shared" si="4"/>
        <v>0</v>
      </c>
      <c r="V75" s="17">
        <f t="shared" si="5"/>
        <v>1</v>
      </c>
      <c r="W75" s="14">
        <f t="shared" si="6"/>
        <v>21072.11538</v>
      </c>
      <c r="X75" s="35" t="s">
        <v>35</v>
      </c>
      <c r="Y75" s="44" t="s">
        <v>113</v>
      </c>
    </row>
    <row r="76" ht="15.0" hidden="1" customHeight="1">
      <c r="A76" s="35">
        <v>72.0</v>
      </c>
      <c r="B76" s="33" t="s">
        <v>322</v>
      </c>
      <c r="C76" s="34" t="s">
        <v>326</v>
      </c>
      <c r="D76" s="34" t="s">
        <v>324</v>
      </c>
      <c r="E76" s="34" t="s">
        <v>72</v>
      </c>
      <c r="F76" s="17">
        <v>545.0</v>
      </c>
      <c r="G76" s="12"/>
      <c r="H76" s="19"/>
      <c r="I76" s="35" t="s">
        <v>32</v>
      </c>
      <c r="J76" s="34"/>
      <c r="K76" s="34"/>
      <c r="L76" s="13">
        <v>1.1559E7</v>
      </c>
      <c r="M76" s="13"/>
      <c r="N76" s="13"/>
      <c r="O76" s="13"/>
      <c r="P76" s="13"/>
      <c r="Q76" s="13"/>
      <c r="R76" s="14">
        <f t="shared" si="1"/>
        <v>11559000</v>
      </c>
      <c r="S76" s="15">
        <f t="shared" si="2"/>
        <v>11559000</v>
      </c>
      <c r="T76" s="15">
        <f t="shared" si="3"/>
        <v>11559000</v>
      </c>
      <c r="U76" s="16">
        <f t="shared" si="4"/>
        <v>0</v>
      </c>
      <c r="V76" s="17">
        <f t="shared" si="5"/>
        <v>1</v>
      </c>
      <c r="W76" s="14">
        <f t="shared" si="6"/>
        <v>21209.17431</v>
      </c>
      <c r="X76" s="35" t="s">
        <v>35</v>
      </c>
      <c r="Y76" s="44" t="s">
        <v>113</v>
      </c>
    </row>
    <row r="77" ht="15.0" hidden="1" customHeight="1">
      <c r="A77" s="35">
        <v>73.0</v>
      </c>
      <c r="B77" s="33" t="s">
        <v>322</v>
      </c>
      <c r="C77" s="34" t="s">
        <v>327</v>
      </c>
      <c r="D77" s="34" t="s">
        <v>324</v>
      </c>
      <c r="E77" s="34" t="s">
        <v>72</v>
      </c>
      <c r="F77" s="17">
        <v>450.0</v>
      </c>
      <c r="G77" s="12"/>
      <c r="H77" s="19"/>
      <c r="I77" s="35" t="s">
        <v>32</v>
      </c>
      <c r="J77" s="34"/>
      <c r="K77" s="34"/>
      <c r="L77" s="13">
        <v>8979000.0</v>
      </c>
      <c r="M77" s="13"/>
      <c r="N77" s="13"/>
      <c r="O77" s="13"/>
      <c r="P77" s="13"/>
      <c r="Q77" s="13"/>
      <c r="R77" s="14">
        <f t="shared" si="1"/>
        <v>8979000</v>
      </c>
      <c r="S77" s="15">
        <f t="shared" si="2"/>
        <v>8979000</v>
      </c>
      <c r="T77" s="15">
        <f t="shared" si="3"/>
        <v>8979000</v>
      </c>
      <c r="U77" s="16">
        <f t="shared" si="4"/>
        <v>0</v>
      </c>
      <c r="V77" s="17">
        <f t="shared" si="5"/>
        <v>1</v>
      </c>
      <c r="W77" s="14">
        <f t="shared" si="6"/>
        <v>19953.33333</v>
      </c>
      <c r="X77" s="35" t="s">
        <v>35</v>
      </c>
      <c r="Y77" s="44" t="s">
        <v>113</v>
      </c>
    </row>
    <row r="78" ht="15.0" hidden="1" customHeight="1">
      <c r="A78" s="35">
        <v>74.0</v>
      </c>
      <c r="B78" s="33" t="s">
        <v>322</v>
      </c>
      <c r="C78" s="34" t="s">
        <v>328</v>
      </c>
      <c r="D78" s="34" t="s">
        <v>324</v>
      </c>
      <c r="E78" s="34" t="s">
        <v>30</v>
      </c>
      <c r="F78" s="17">
        <v>496.0</v>
      </c>
      <c r="G78" s="12"/>
      <c r="H78" s="19"/>
      <c r="I78" s="35" t="s">
        <v>32</v>
      </c>
      <c r="J78" s="34"/>
      <c r="K78" s="34"/>
      <c r="L78" s="13">
        <v>1.2759E7</v>
      </c>
      <c r="M78" s="13"/>
      <c r="N78" s="13"/>
      <c r="O78" s="13"/>
      <c r="P78" s="13"/>
      <c r="Q78" s="13"/>
      <c r="R78" s="14">
        <f t="shared" si="1"/>
        <v>12759000</v>
      </c>
      <c r="S78" s="15">
        <f t="shared" si="2"/>
        <v>12759000</v>
      </c>
      <c r="T78" s="15">
        <f t="shared" si="3"/>
        <v>12759000</v>
      </c>
      <c r="U78" s="16">
        <f t="shared" si="4"/>
        <v>0</v>
      </c>
      <c r="V78" s="17">
        <f t="shared" si="5"/>
        <v>1</v>
      </c>
      <c r="W78" s="14">
        <f t="shared" si="6"/>
        <v>25723.79032</v>
      </c>
      <c r="X78" s="35" t="s">
        <v>35</v>
      </c>
      <c r="Y78" s="44" t="s">
        <v>113</v>
      </c>
    </row>
    <row r="79" ht="15.0" hidden="1" customHeight="1">
      <c r="A79" s="35">
        <v>75.0</v>
      </c>
      <c r="B79" s="33" t="s">
        <v>322</v>
      </c>
      <c r="C79" s="34" t="s">
        <v>329</v>
      </c>
      <c r="D79" s="34" t="s">
        <v>324</v>
      </c>
      <c r="E79" s="34" t="s">
        <v>30</v>
      </c>
      <c r="F79" s="17">
        <v>419.0</v>
      </c>
      <c r="G79" s="12"/>
      <c r="H79" s="19"/>
      <c r="I79" s="35" t="s">
        <v>32</v>
      </c>
      <c r="J79" s="34"/>
      <c r="K79" s="34"/>
      <c r="L79" s="13">
        <v>1.1489E7</v>
      </c>
      <c r="M79" s="13"/>
      <c r="N79" s="13"/>
      <c r="O79" s="13"/>
      <c r="P79" s="13"/>
      <c r="Q79" s="13"/>
      <c r="R79" s="14">
        <f t="shared" si="1"/>
        <v>11489000</v>
      </c>
      <c r="S79" s="15">
        <f t="shared" si="2"/>
        <v>11489000</v>
      </c>
      <c r="T79" s="15">
        <f t="shared" si="3"/>
        <v>11489000</v>
      </c>
      <c r="U79" s="16">
        <f t="shared" si="4"/>
        <v>0</v>
      </c>
      <c r="V79" s="17">
        <f t="shared" si="5"/>
        <v>1</v>
      </c>
      <c r="W79" s="14">
        <f t="shared" si="6"/>
        <v>27420.04773</v>
      </c>
      <c r="X79" s="35" t="s">
        <v>35</v>
      </c>
      <c r="Y79" s="44" t="s">
        <v>113</v>
      </c>
    </row>
    <row r="80" ht="15.0" hidden="1" customHeight="1">
      <c r="A80" s="35">
        <v>76.0</v>
      </c>
      <c r="B80" s="33" t="s">
        <v>322</v>
      </c>
      <c r="C80" s="34" t="s">
        <v>330</v>
      </c>
      <c r="D80" s="34" t="s">
        <v>324</v>
      </c>
      <c r="E80" s="34" t="s">
        <v>30</v>
      </c>
      <c r="F80" s="17">
        <v>537.0</v>
      </c>
      <c r="G80" s="12"/>
      <c r="H80" s="35" t="s">
        <v>31</v>
      </c>
      <c r="I80" s="35" t="s">
        <v>32</v>
      </c>
      <c r="J80" s="34" t="s">
        <v>331</v>
      </c>
      <c r="K80" s="34" t="s">
        <v>332</v>
      </c>
      <c r="L80" s="13"/>
      <c r="M80" s="13"/>
      <c r="N80" s="13"/>
      <c r="O80" s="13"/>
      <c r="P80" s="13"/>
      <c r="Q80" s="13"/>
      <c r="R80" s="14" t="str">
        <f t="shared" si="1"/>
        <v/>
      </c>
      <c r="S80" s="15" t="str">
        <f t="shared" si="2"/>
        <v/>
      </c>
      <c r="T80" s="15" t="str">
        <f t="shared" si="3"/>
        <v/>
      </c>
      <c r="U80" s="16" t="str">
        <f t="shared" si="4"/>
        <v/>
      </c>
      <c r="V80" s="17">
        <f t="shared" si="5"/>
        <v>0</v>
      </c>
      <c r="W80" s="14">
        <f t="shared" si="6"/>
        <v>0</v>
      </c>
      <c r="X80" s="35" t="s">
        <v>35</v>
      </c>
      <c r="Y80" s="44" t="s">
        <v>298</v>
      </c>
    </row>
    <row r="81" ht="15.0" hidden="1" customHeight="1">
      <c r="A81" s="35">
        <v>77.0</v>
      </c>
      <c r="B81" s="33" t="s">
        <v>322</v>
      </c>
      <c r="C81" s="34" t="s">
        <v>333</v>
      </c>
      <c r="D81" s="34" t="s">
        <v>334</v>
      </c>
      <c r="E81" s="34" t="s">
        <v>30</v>
      </c>
      <c r="F81" s="17">
        <v>562.0</v>
      </c>
      <c r="G81" s="12"/>
      <c r="H81" s="35" t="s">
        <v>56</v>
      </c>
      <c r="I81" s="35" t="s">
        <v>32</v>
      </c>
      <c r="J81" s="34" t="s">
        <v>335</v>
      </c>
      <c r="K81" s="34" t="s">
        <v>336</v>
      </c>
      <c r="L81" s="13"/>
      <c r="M81" s="13"/>
      <c r="N81" s="13"/>
      <c r="O81" s="13"/>
      <c r="P81" s="13"/>
      <c r="Q81" s="13"/>
      <c r="R81" s="14" t="str">
        <f t="shared" si="1"/>
        <v/>
      </c>
      <c r="S81" s="15" t="str">
        <f t="shared" si="2"/>
        <v/>
      </c>
      <c r="T81" s="15" t="str">
        <f t="shared" si="3"/>
        <v/>
      </c>
      <c r="U81" s="16" t="str">
        <f t="shared" si="4"/>
        <v/>
      </c>
      <c r="V81" s="17">
        <f t="shared" si="5"/>
        <v>0</v>
      </c>
      <c r="W81" s="14">
        <f t="shared" si="6"/>
        <v>0</v>
      </c>
      <c r="X81" s="35" t="s">
        <v>35</v>
      </c>
      <c r="Y81" s="44" t="s">
        <v>298</v>
      </c>
    </row>
    <row r="82" ht="15.0" hidden="1" customHeight="1">
      <c r="A82" s="35">
        <v>78.0</v>
      </c>
      <c r="B82" s="33" t="s">
        <v>322</v>
      </c>
      <c r="C82" s="34" t="s">
        <v>337</v>
      </c>
      <c r="D82" s="34" t="s">
        <v>338</v>
      </c>
      <c r="E82" s="34" t="s">
        <v>30</v>
      </c>
      <c r="F82" s="17">
        <v>496.0</v>
      </c>
      <c r="G82" s="12"/>
      <c r="H82" s="35" t="s">
        <v>31</v>
      </c>
      <c r="I82" s="35" t="s">
        <v>32</v>
      </c>
      <c r="J82" s="34" t="s">
        <v>339</v>
      </c>
      <c r="K82" s="34" t="s">
        <v>340</v>
      </c>
      <c r="L82" s="13"/>
      <c r="M82" s="13"/>
      <c r="N82" s="13"/>
      <c r="O82" s="13"/>
      <c r="P82" s="13"/>
      <c r="Q82" s="13"/>
      <c r="R82" s="14" t="str">
        <f t="shared" si="1"/>
        <v/>
      </c>
      <c r="S82" s="15" t="str">
        <f t="shared" si="2"/>
        <v/>
      </c>
      <c r="T82" s="15" t="str">
        <f t="shared" si="3"/>
        <v/>
      </c>
      <c r="U82" s="16" t="str">
        <f t="shared" si="4"/>
        <v/>
      </c>
      <c r="V82" s="17">
        <f t="shared" si="5"/>
        <v>0</v>
      </c>
      <c r="W82" s="14">
        <f t="shared" si="6"/>
        <v>0</v>
      </c>
      <c r="X82" s="35" t="s">
        <v>35</v>
      </c>
      <c r="Y82" s="44" t="s">
        <v>341</v>
      </c>
    </row>
    <row r="83" ht="15.0" hidden="1" customHeight="1">
      <c r="A83" s="35">
        <v>79.0</v>
      </c>
      <c r="B83" s="33" t="s">
        <v>322</v>
      </c>
      <c r="C83" s="34" t="s">
        <v>342</v>
      </c>
      <c r="D83" s="34" t="s">
        <v>343</v>
      </c>
      <c r="E83" s="34" t="s">
        <v>112</v>
      </c>
      <c r="F83" s="17">
        <v>246.0</v>
      </c>
      <c r="G83" s="12"/>
      <c r="H83" s="19"/>
      <c r="I83" s="19"/>
      <c r="J83" s="34"/>
      <c r="K83" s="34"/>
      <c r="L83" s="13">
        <v>5549000.0</v>
      </c>
      <c r="M83" s="13"/>
      <c r="N83" s="13"/>
      <c r="O83" s="13"/>
      <c r="P83" s="13"/>
      <c r="Q83" s="13"/>
      <c r="R83" s="14">
        <f t="shared" si="1"/>
        <v>5549000</v>
      </c>
      <c r="S83" s="15">
        <f t="shared" si="2"/>
        <v>5549000</v>
      </c>
      <c r="T83" s="15">
        <f t="shared" si="3"/>
        <v>5549000</v>
      </c>
      <c r="U83" s="16">
        <f t="shared" si="4"/>
        <v>0</v>
      </c>
      <c r="V83" s="17">
        <f t="shared" si="5"/>
        <v>1</v>
      </c>
      <c r="W83" s="14">
        <f t="shared" si="6"/>
        <v>22556.91057</v>
      </c>
      <c r="X83" s="35" t="s">
        <v>35</v>
      </c>
      <c r="Y83" s="44" t="s">
        <v>113</v>
      </c>
    </row>
    <row r="84" ht="15.0" hidden="1" customHeight="1">
      <c r="A84" s="35">
        <v>80.0</v>
      </c>
      <c r="B84" s="33" t="s">
        <v>344</v>
      </c>
      <c r="C84" s="34" t="s">
        <v>345</v>
      </c>
      <c r="D84" s="34"/>
      <c r="E84" s="34" t="s">
        <v>72</v>
      </c>
      <c r="F84" s="17">
        <v>620.0</v>
      </c>
      <c r="G84" s="12"/>
      <c r="H84" s="19"/>
      <c r="I84" s="35" t="s">
        <v>32</v>
      </c>
      <c r="J84" s="34"/>
      <c r="K84" s="34"/>
      <c r="L84" s="13">
        <v>8799000.0</v>
      </c>
      <c r="M84" s="13"/>
      <c r="N84" s="13"/>
      <c r="O84" s="13"/>
      <c r="P84" s="13"/>
      <c r="Q84" s="13"/>
      <c r="R84" s="14">
        <f t="shared" si="1"/>
        <v>8799000</v>
      </c>
      <c r="S84" s="15">
        <f t="shared" si="2"/>
        <v>8799000</v>
      </c>
      <c r="T84" s="15">
        <f t="shared" si="3"/>
        <v>8799000</v>
      </c>
      <c r="U84" s="16">
        <f t="shared" si="4"/>
        <v>0</v>
      </c>
      <c r="V84" s="17">
        <f t="shared" si="5"/>
        <v>1</v>
      </c>
      <c r="W84" s="14">
        <f t="shared" si="6"/>
        <v>14191.93548</v>
      </c>
      <c r="X84" s="35" t="s">
        <v>35</v>
      </c>
      <c r="Y84" s="44" t="s">
        <v>113</v>
      </c>
    </row>
    <row r="85" ht="15.0" hidden="1" customHeight="1">
      <c r="A85" s="35">
        <v>81.0</v>
      </c>
      <c r="B85" s="33" t="s">
        <v>344</v>
      </c>
      <c r="C85" s="34" t="s">
        <v>346</v>
      </c>
      <c r="D85" s="34"/>
      <c r="E85" s="34" t="s">
        <v>72</v>
      </c>
      <c r="F85" s="17">
        <v>460.0</v>
      </c>
      <c r="G85" s="12"/>
      <c r="H85" s="19"/>
      <c r="I85" s="35" t="s">
        <v>32</v>
      </c>
      <c r="J85" s="34"/>
      <c r="K85" s="34"/>
      <c r="L85" s="13">
        <v>8629000.0</v>
      </c>
      <c r="M85" s="13"/>
      <c r="N85" s="13"/>
      <c r="O85" s="13"/>
      <c r="P85" s="13"/>
      <c r="Q85" s="13"/>
      <c r="R85" s="14">
        <f t="shared" si="1"/>
        <v>8629000</v>
      </c>
      <c r="S85" s="15">
        <f t="shared" si="2"/>
        <v>8629000</v>
      </c>
      <c r="T85" s="15">
        <f t="shared" si="3"/>
        <v>8629000</v>
      </c>
      <c r="U85" s="16">
        <f t="shared" si="4"/>
        <v>0</v>
      </c>
      <c r="V85" s="17">
        <f t="shared" si="5"/>
        <v>1</v>
      </c>
      <c r="W85" s="14">
        <f t="shared" si="6"/>
        <v>18758.69565</v>
      </c>
      <c r="X85" s="35" t="s">
        <v>35</v>
      </c>
      <c r="Y85" s="44" t="s">
        <v>113</v>
      </c>
    </row>
    <row r="86" ht="15.0" hidden="1" customHeight="1">
      <c r="A86" s="35">
        <v>82.0</v>
      </c>
      <c r="B86" s="33" t="s">
        <v>344</v>
      </c>
      <c r="C86" s="34" t="s">
        <v>347</v>
      </c>
      <c r="D86" s="34"/>
      <c r="E86" s="34" t="s">
        <v>30</v>
      </c>
      <c r="F86" s="17">
        <v>474.0</v>
      </c>
      <c r="G86" s="12"/>
      <c r="H86" s="19"/>
      <c r="I86" s="35" t="s">
        <v>32</v>
      </c>
      <c r="J86" s="34"/>
      <c r="K86" s="34"/>
      <c r="L86" s="13">
        <v>1.0419E7</v>
      </c>
      <c r="M86" s="13"/>
      <c r="N86" s="13"/>
      <c r="O86" s="13"/>
      <c r="P86" s="13"/>
      <c r="Q86" s="13"/>
      <c r="R86" s="14">
        <f t="shared" si="1"/>
        <v>10419000</v>
      </c>
      <c r="S86" s="15">
        <f t="shared" si="2"/>
        <v>10419000</v>
      </c>
      <c r="T86" s="15">
        <f t="shared" si="3"/>
        <v>10419000</v>
      </c>
      <c r="U86" s="16">
        <f t="shared" si="4"/>
        <v>0</v>
      </c>
      <c r="V86" s="17">
        <f t="shared" si="5"/>
        <v>1</v>
      </c>
      <c r="W86" s="14">
        <f t="shared" si="6"/>
        <v>21981.01266</v>
      </c>
      <c r="X86" s="35" t="s">
        <v>35</v>
      </c>
      <c r="Y86" s="44" t="s">
        <v>113</v>
      </c>
    </row>
    <row r="87" ht="15.0" hidden="1" customHeight="1">
      <c r="A87" s="35">
        <v>83.0</v>
      </c>
      <c r="B87" s="33" t="s">
        <v>348</v>
      </c>
      <c r="C87" s="34" t="s">
        <v>349</v>
      </c>
      <c r="D87" s="34"/>
      <c r="E87" s="34" t="s">
        <v>72</v>
      </c>
      <c r="F87" s="17">
        <v>591.0</v>
      </c>
      <c r="G87" s="12"/>
      <c r="H87" s="19"/>
      <c r="I87" s="35" t="s">
        <v>32</v>
      </c>
      <c r="J87" s="34"/>
      <c r="K87" s="34"/>
      <c r="L87" s="13">
        <v>8599000.0</v>
      </c>
      <c r="M87" s="13"/>
      <c r="N87" s="13"/>
      <c r="O87" s="13"/>
      <c r="P87" s="13"/>
      <c r="Q87" s="13"/>
      <c r="R87" s="14">
        <f t="shared" si="1"/>
        <v>8599000</v>
      </c>
      <c r="S87" s="15">
        <f t="shared" si="2"/>
        <v>8599000</v>
      </c>
      <c r="T87" s="15">
        <f t="shared" si="3"/>
        <v>8599000</v>
      </c>
      <c r="U87" s="16">
        <f t="shared" si="4"/>
        <v>0</v>
      </c>
      <c r="V87" s="17">
        <f t="shared" si="5"/>
        <v>1</v>
      </c>
      <c r="W87" s="14">
        <f t="shared" si="6"/>
        <v>14549.9154</v>
      </c>
      <c r="X87" s="35" t="s">
        <v>35</v>
      </c>
      <c r="Y87" s="44" t="s">
        <v>113</v>
      </c>
    </row>
    <row r="88" ht="15.0" hidden="1" customHeight="1">
      <c r="A88" s="35">
        <v>84.0</v>
      </c>
      <c r="B88" s="33" t="s">
        <v>348</v>
      </c>
      <c r="C88" s="34" t="s">
        <v>350</v>
      </c>
      <c r="D88" s="34"/>
      <c r="E88" s="34" t="s">
        <v>30</v>
      </c>
      <c r="F88" s="17">
        <v>664.0</v>
      </c>
      <c r="G88" s="12"/>
      <c r="H88" s="19"/>
      <c r="I88" s="35" t="s">
        <v>32</v>
      </c>
      <c r="J88" s="34"/>
      <c r="K88" s="34"/>
      <c r="L88" s="13">
        <v>1.2999E7</v>
      </c>
      <c r="M88" s="13"/>
      <c r="N88" s="13"/>
      <c r="O88" s="13"/>
      <c r="P88" s="13"/>
      <c r="Q88" s="13"/>
      <c r="R88" s="14">
        <f t="shared" si="1"/>
        <v>12999000</v>
      </c>
      <c r="S88" s="15">
        <f t="shared" si="2"/>
        <v>12999000</v>
      </c>
      <c r="T88" s="15">
        <f t="shared" si="3"/>
        <v>12999000</v>
      </c>
      <c r="U88" s="16">
        <f t="shared" si="4"/>
        <v>0</v>
      </c>
      <c r="V88" s="17">
        <f t="shared" si="5"/>
        <v>1</v>
      </c>
      <c r="W88" s="14">
        <f t="shared" si="6"/>
        <v>19576.80723</v>
      </c>
      <c r="X88" s="35" t="s">
        <v>35</v>
      </c>
      <c r="Y88" s="44" t="s">
        <v>351</v>
      </c>
    </row>
    <row r="89" ht="15.0" hidden="1" customHeight="1">
      <c r="A89" s="35">
        <v>85.0</v>
      </c>
      <c r="B89" s="33" t="s">
        <v>348</v>
      </c>
      <c r="C89" s="34" t="s">
        <v>352</v>
      </c>
      <c r="D89" s="34"/>
      <c r="E89" s="34" t="s">
        <v>30</v>
      </c>
      <c r="F89" s="17">
        <v>467.0</v>
      </c>
      <c r="G89" s="12"/>
      <c r="H89" s="19"/>
      <c r="I89" s="35" t="s">
        <v>32</v>
      </c>
      <c r="J89" s="34"/>
      <c r="K89" s="34"/>
      <c r="L89" s="13">
        <v>8399000.0</v>
      </c>
      <c r="M89" s="13"/>
      <c r="N89" s="13"/>
      <c r="O89" s="13"/>
      <c r="P89" s="13"/>
      <c r="Q89" s="13"/>
      <c r="R89" s="14">
        <f t="shared" si="1"/>
        <v>8399000</v>
      </c>
      <c r="S89" s="15">
        <f t="shared" si="2"/>
        <v>8399000</v>
      </c>
      <c r="T89" s="15">
        <f t="shared" si="3"/>
        <v>8399000</v>
      </c>
      <c r="U89" s="16">
        <f t="shared" si="4"/>
        <v>0</v>
      </c>
      <c r="V89" s="17">
        <f t="shared" si="5"/>
        <v>1</v>
      </c>
      <c r="W89" s="14">
        <f t="shared" si="6"/>
        <v>17985.01071</v>
      </c>
      <c r="X89" s="35" t="s">
        <v>35</v>
      </c>
      <c r="Y89" s="44" t="s">
        <v>113</v>
      </c>
    </row>
    <row r="90" ht="15.0" hidden="1" customHeight="1">
      <c r="A90" s="35">
        <v>86.0</v>
      </c>
      <c r="B90" s="33" t="s">
        <v>348</v>
      </c>
      <c r="C90" s="34" t="s">
        <v>353</v>
      </c>
      <c r="D90" s="34"/>
      <c r="E90" s="34" t="s">
        <v>30</v>
      </c>
      <c r="F90" s="17">
        <v>507.0</v>
      </c>
      <c r="G90" s="12"/>
      <c r="H90" s="19"/>
      <c r="I90" s="35" t="s">
        <v>32</v>
      </c>
      <c r="J90" s="34"/>
      <c r="K90" s="34"/>
      <c r="L90" s="13">
        <v>1.1779E7</v>
      </c>
      <c r="M90" s="13"/>
      <c r="N90" s="13"/>
      <c r="O90" s="13"/>
      <c r="P90" s="13"/>
      <c r="Q90" s="13"/>
      <c r="R90" s="14">
        <f t="shared" si="1"/>
        <v>11779000</v>
      </c>
      <c r="S90" s="15">
        <f t="shared" si="2"/>
        <v>11779000</v>
      </c>
      <c r="T90" s="15">
        <f t="shared" si="3"/>
        <v>11779000</v>
      </c>
      <c r="U90" s="16">
        <f t="shared" si="4"/>
        <v>0</v>
      </c>
      <c r="V90" s="17">
        <f t="shared" si="5"/>
        <v>1</v>
      </c>
      <c r="W90" s="14">
        <f t="shared" si="6"/>
        <v>23232.74162</v>
      </c>
      <c r="X90" s="35" t="s">
        <v>35</v>
      </c>
      <c r="Y90" s="44" t="s">
        <v>113</v>
      </c>
    </row>
    <row r="91" ht="15.0" hidden="1" customHeight="1">
      <c r="A91" s="35">
        <v>87.0</v>
      </c>
      <c r="B91" s="33" t="s">
        <v>348</v>
      </c>
      <c r="C91" s="34" t="s">
        <v>354</v>
      </c>
      <c r="D91" s="34"/>
      <c r="E91" s="34" t="s">
        <v>112</v>
      </c>
      <c r="F91" s="17">
        <v>203.0</v>
      </c>
      <c r="G91" s="12"/>
      <c r="H91" s="19"/>
      <c r="I91" s="19"/>
      <c r="J91" s="34"/>
      <c r="K91" s="34"/>
      <c r="L91" s="13">
        <v>3049000.0</v>
      </c>
      <c r="M91" s="13"/>
      <c r="N91" s="13"/>
      <c r="O91" s="13"/>
      <c r="P91" s="13"/>
      <c r="Q91" s="13"/>
      <c r="R91" s="14">
        <f t="shared" si="1"/>
        <v>3049000</v>
      </c>
      <c r="S91" s="15">
        <f t="shared" si="2"/>
        <v>3049000</v>
      </c>
      <c r="T91" s="15">
        <f t="shared" si="3"/>
        <v>3049000</v>
      </c>
      <c r="U91" s="16">
        <f t="shared" si="4"/>
        <v>0</v>
      </c>
      <c r="V91" s="17">
        <f t="shared" si="5"/>
        <v>1</v>
      </c>
      <c r="W91" s="14">
        <f t="shared" si="6"/>
        <v>15019.70443</v>
      </c>
      <c r="X91" s="35" t="s">
        <v>35</v>
      </c>
      <c r="Y91" s="44" t="s">
        <v>113</v>
      </c>
    </row>
    <row r="92" ht="15.0" customHeight="1">
      <c r="A92" s="35">
        <v>88.0</v>
      </c>
      <c r="B92" s="33" t="s">
        <v>348</v>
      </c>
      <c r="C92" s="34" t="s">
        <v>355</v>
      </c>
      <c r="D92" s="34"/>
      <c r="E92" s="34" t="s">
        <v>112</v>
      </c>
      <c r="F92" s="17">
        <v>168.0</v>
      </c>
      <c r="G92" s="12"/>
      <c r="H92" s="19"/>
      <c r="I92" s="19"/>
      <c r="J92" s="34"/>
      <c r="K92" s="34"/>
      <c r="L92" s="13">
        <v>2799000.0</v>
      </c>
      <c r="M92" s="13"/>
      <c r="N92" s="13"/>
      <c r="O92" s="13"/>
      <c r="P92" s="13"/>
      <c r="Q92" s="13"/>
      <c r="R92" s="14">
        <f t="shared" si="1"/>
        <v>2799000</v>
      </c>
      <c r="S92" s="15">
        <f t="shared" si="2"/>
        <v>2799000</v>
      </c>
      <c r="T92" s="15">
        <f t="shared" si="3"/>
        <v>2799000</v>
      </c>
      <c r="U92" s="16">
        <f t="shared" si="4"/>
        <v>0</v>
      </c>
      <c r="V92" s="17">
        <f t="shared" si="5"/>
        <v>1</v>
      </c>
      <c r="W92" s="14">
        <f t="shared" si="6"/>
        <v>16660.71429</v>
      </c>
      <c r="X92" s="35" t="s">
        <v>35</v>
      </c>
      <c r="Y92" s="44" t="s">
        <v>113</v>
      </c>
    </row>
    <row r="93" ht="15.0" hidden="1" customHeight="1">
      <c r="A93" s="35">
        <v>89.0</v>
      </c>
      <c r="B93" s="33" t="s">
        <v>348</v>
      </c>
      <c r="C93" s="34" t="s">
        <v>356</v>
      </c>
      <c r="D93" s="34"/>
      <c r="E93" s="34" t="s">
        <v>72</v>
      </c>
      <c r="F93" s="17">
        <v>468.0</v>
      </c>
      <c r="G93" s="12"/>
      <c r="H93" s="35" t="s">
        <v>56</v>
      </c>
      <c r="I93" s="35" t="s">
        <v>32</v>
      </c>
      <c r="J93" s="34" t="s">
        <v>357</v>
      </c>
      <c r="K93" s="34" t="s">
        <v>358</v>
      </c>
      <c r="L93" s="13"/>
      <c r="M93" s="13"/>
      <c r="N93" s="13"/>
      <c r="O93" s="13"/>
      <c r="P93" s="13"/>
      <c r="Q93" s="13"/>
      <c r="R93" s="14" t="str">
        <f t="shared" si="1"/>
        <v/>
      </c>
      <c r="S93" s="15" t="str">
        <f t="shared" si="2"/>
        <v/>
      </c>
      <c r="T93" s="15" t="str">
        <f t="shared" si="3"/>
        <v/>
      </c>
      <c r="U93" s="16" t="str">
        <f t="shared" si="4"/>
        <v/>
      </c>
      <c r="V93" s="17">
        <f t="shared" si="5"/>
        <v>0</v>
      </c>
      <c r="W93" s="14">
        <f t="shared" si="6"/>
        <v>0</v>
      </c>
      <c r="X93" s="35" t="s">
        <v>35</v>
      </c>
      <c r="Y93" s="44" t="s">
        <v>341</v>
      </c>
    </row>
    <row r="94" ht="15.0" hidden="1" customHeight="1">
      <c r="A94" s="35">
        <v>90.0</v>
      </c>
      <c r="B94" s="33" t="s">
        <v>359</v>
      </c>
      <c r="C94" s="34" t="s">
        <v>360</v>
      </c>
      <c r="D94" s="34"/>
      <c r="E94" s="34" t="s">
        <v>72</v>
      </c>
      <c r="F94" s="17">
        <v>546.0</v>
      </c>
      <c r="G94" s="12"/>
      <c r="H94" s="19"/>
      <c r="I94" s="35" t="s">
        <v>32</v>
      </c>
      <c r="J94" s="34"/>
      <c r="K94" s="34"/>
      <c r="L94" s="13">
        <v>8259000.0</v>
      </c>
      <c r="M94" s="13"/>
      <c r="N94" s="13"/>
      <c r="O94" s="13"/>
      <c r="P94" s="13"/>
      <c r="Q94" s="13"/>
      <c r="R94" s="14">
        <f t="shared" si="1"/>
        <v>8259000</v>
      </c>
      <c r="S94" s="15">
        <f t="shared" si="2"/>
        <v>8259000</v>
      </c>
      <c r="T94" s="15">
        <f t="shared" si="3"/>
        <v>8259000</v>
      </c>
      <c r="U94" s="16">
        <f t="shared" si="4"/>
        <v>0</v>
      </c>
      <c r="V94" s="17">
        <f t="shared" si="5"/>
        <v>1</v>
      </c>
      <c r="W94" s="14">
        <f t="shared" si="6"/>
        <v>15126.37363</v>
      </c>
      <c r="X94" s="35" t="s">
        <v>35</v>
      </c>
      <c r="Y94" s="44" t="s">
        <v>113</v>
      </c>
    </row>
    <row r="95" ht="15.0" hidden="1" customHeight="1">
      <c r="A95" s="35">
        <v>91.0</v>
      </c>
      <c r="B95" s="33" t="s">
        <v>361</v>
      </c>
      <c r="C95" s="34" t="s">
        <v>362</v>
      </c>
      <c r="D95" s="34"/>
      <c r="E95" s="34" t="s">
        <v>72</v>
      </c>
      <c r="F95" s="17">
        <v>467.0</v>
      </c>
      <c r="G95" s="12"/>
      <c r="H95" s="19"/>
      <c r="I95" s="35" t="s">
        <v>32</v>
      </c>
      <c r="J95" s="34"/>
      <c r="K95" s="34"/>
      <c r="L95" s="13">
        <v>8879000.0</v>
      </c>
      <c r="M95" s="13"/>
      <c r="N95" s="13"/>
      <c r="O95" s="13"/>
      <c r="P95" s="13"/>
      <c r="Q95" s="13"/>
      <c r="R95" s="14">
        <f t="shared" si="1"/>
        <v>8879000</v>
      </c>
      <c r="S95" s="15">
        <f t="shared" si="2"/>
        <v>8879000</v>
      </c>
      <c r="T95" s="15">
        <f t="shared" si="3"/>
        <v>8879000</v>
      </c>
      <c r="U95" s="16">
        <f t="shared" si="4"/>
        <v>0</v>
      </c>
      <c r="V95" s="17">
        <f t="shared" si="5"/>
        <v>1</v>
      </c>
      <c r="W95" s="14">
        <f t="shared" si="6"/>
        <v>19012.84797</v>
      </c>
      <c r="X95" s="35" t="s">
        <v>35</v>
      </c>
      <c r="Y95" s="44" t="s">
        <v>113</v>
      </c>
    </row>
    <row r="96" ht="15.0" hidden="1" customHeight="1">
      <c r="A96" s="35">
        <v>92.0</v>
      </c>
      <c r="B96" s="33" t="s">
        <v>361</v>
      </c>
      <c r="C96" s="34" t="s">
        <v>363</v>
      </c>
      <c r="D96" s="34"/>
      <c r="E96" s="34" t="s">
        <v>30</v>
      </c>
      <c r="F96" s="17">
        <v>431.0</v>
      </c>
      <c r="G96" s="12"/>
      <c r="H96" s="19"/>
      <c r="I96" s="35" t="s">
        <v>32</v>
      </c>
      <c r="J96" s="34"/>
      <c r="K96" s="34"/>
      <c r="L96" s="13">
        <v>1.0609E7</v>
      </c>
      <c r="M96" s="13"/>
      <c r="N96" s="13"/>
      <c r="O96" s="13"/>
      <c r="P96" s="13"/>
      <c r="Q96" s="13"/>
      <c r="R96" s="14">
        <f t="shared" si="1"/>
        <v>10609000</v>
      </c>
      <c r="S96" s="15">
        <f t="shared" si="2"/>
        <v>10609000</v>
      </c>
      <c r="T96" s="15">
        <f t="shared" si="3"/>
        <v>10609000</v>
      </c>
      <c r="U96" s="16">
        <f t="shared" si="4"/>
        <v>0</v>
      </c>
      <c r="V96" s="17">
        <f t="shared" si="5"/>
        <v>1</v>
      </c>
      <c r="W96" s="14">
        <f t="shared" si="6"/>
        <v>24614.84919</v>
      </c>
      <c r="X96" s="35" t="s">
        <v>35</v>
      </c>
      <c r="Y96" s="44" t="s">
        <v>113</v>
      </c>
    </row>
    <row r="97" ht="15.0" hidden="1" customHeight="1">
      <c r="A97" s="35">
        <v>93.0</v>
      </c>
      <c r="B97" s="33" t="s">
        <v>361</v>
      </c>
      <c r="C97" s="34" t="s">
        <v>364</v>
      </c>
      <c r="D97" s="34"/>
      <c r="E97" s="34" t="s">
        <v>112</v>
      </c>
      <c r="F97" s="17">
        <v>220.0</v>
      </c>
      <c r="G97" s="12"/>
      <c r="H97" s="19"/>
      <c r="I97" s="19"/>
      <c r="J97" s="34"/>
      <c r="K97" s="34"/>
      <c r="L97" s="13">
        <v>4429000.0</v>
      </c>
      <c r="M97" s="13"/>
      <c r="N97" s="13"/>
      <c r="O97" s="13"/>
      <c r="P97" s="13"/>
      <c r="Q97" s="13"/>
      <c r="R97" s="14">
        <f t="shared" si="1"/>
        <v>4429000</v>
      </c>
      <c r="S97" s="15">
        <f t="shared" si="2"/>
        <v>4429000</v>
      </c>
      <c r="T97" s="15">
        <f t="shared" si="3"/>
        <v>4429000</v>
      </c>
      <c r="U97" s="16">
        <f t="shared" si="4"/>
        <v>0</v>
      </c>
      <c r="V97" s="17">
        <f t="shared" si="5"/>
        <v>1</v>
      </c>
      <c r="W97" s="14">
        <f t="shared" si="6"/>
        <v>20131.81818</v>
      </c>
      <c r="X97" s="35" t="s">
        <v>35</v>
      </c>
      <c r="Y97" s="44" t="s">
        <v>113</v>
      </c>
    </row>
    <row r="98" ht="15.0" hidden="1" customHeight="1">
      <c r="A98" s="35">
        <v>94.0</v>
      </c>
      <c r="B98" s="33" t="s">
        <v>365</v>
      </c>
      <c r="C98" s="34" t="s">
        <v>366</v>
      </c>
      <c r="D98" s="34"/>
      <c r="E98" s="34" t="s">
        <v>72</v>
      </c>
      <c r="F98" s="17">
        <v>550.0</v>
      </c>
      <c r="G98" s="12"/>
      <c r="H98" s="19"/>
      <c r="I98" s="35" t="s">
        <v>32</v>
      </c>
      <c r="J98" s="34"/>
      <c r="K98" s="34"/>
      <c r="L98" s="13">
        <v>6799000.0</v>
      </c>
      <c r="M98" s="13"/>
      <c r="N98" s="13"/>
      <c r="O98" s="13"/>
      <c r="P98" s="13"/>
      <c r="Q98" s="13"/>
      <c r="R98" s="14">
        <f t="shared" si="1"/>
        <v>6799000</v>
      </c>
      <c r="S98" s="15">
        <f t="shared" si="2"/>
        <v>6799000</v>
      </c>
      <c r="T98" s="15">
        <f t="shared" si="3"/>
        <v>6799000</v>
      </c>
      <c r="U98" s="16">
        <f t="shared" si="4"/>
        <v>0</v>
      </c>
      <c r="V98" s="17">
        <f t="shared" si="5"/>
        <v>1</v>
      </c>
      <c r="W98" s="14">
        <f t="shared" si="6"/>
        <v>12361.81818</v>
      </c>
      <c r="X98" s="35" t="s">
        <v>35</v>
      </c>
      <c r="Y98" s="44" t="s">
        <v>113</v>
      </c>
    </row>
    <row r="99" ht="15.0" hidden="1" customHeight="1">
      <c r="A99" s="35">
        <v>95.0</v>
      </c>
      <c r="B99" s="33" t="s">
        <v>365</v>
      </c>
      <c r="C99" s="34" t="s">
        <v>367</v>
      </c>
      <c r="D99" s="34"/>
      <c r="E99" s="34" t="s">
        <v>72</v>
      </c>
      <c r="F99" s="17">
        <v>460.0</v>
      </c>
      <c r="G99" s="12"/>
      <c r="H99" s="19"/>
      <c r="I99" s="35" t="s">
        <v>32</v>
      </c>
      <c r="J99" s="34"/>
      <c r="K99" s="34"/>
      <c r="L99" s="13">
        <v>7469000.0</v>
      </c>
      <c r="M99" s="13"/>
      <c r="N99" s="13"/>
      <c r="O99" s="13"/>
      <c r="P99" s="13"/>
      <c r="Q99" s="13"/>
      <c r="R99" s="14">
        <f t="shared" si="1"/>
        <v>7469000</v>
      </c>
      <c r="S99" s="15">
        <f t="shared" si="2"/>
        <v>7469000</v>
      </c>
      <c r="T99" s="15">
        <f t="shared" si="3"/>
        <v>7469000</v>
      </c>
      <c r="U99" s="16">
        <f t="shared" si="4"/>
        <v>0</v>
      </c>
      <c r="V99" s="17">
        <f t="shared" si="5"/>
        <v>1</v>
      </c>
      <c r="W99" s="14">
        <f t="shared" si="6"/>
        <v>16236.95652</v>
      </c>
      <c r="X99" s="35" t="s">
        <v>35</v>
      </c>
      <c r="Y99" s="44" t="s">
        <v>113</v>
      </c>
    </row>
    <row r="100" ht="15.0" hidden="1" customHeight="1">
      <c r="A100" s="35">
        <v>96.0</v>
      </c>
      <c r="B100" s="33" t="s">
        <v>365</v>
      </c>
      <c r="C100" s="34" t="s">
        <v>368</v>
      </c>
      <c r="D100" s="34"/>
      <c r="E100" s="34" t="s">
        <v>30</v>
      </c>
      <c r="F100" s="17">
        <v>436.0</v>
      </c>
      <c r="G100" s="12"/>
      <c r="H100" s="19"/>
      <c r="I100" s="35" t="s">
        <v>32</v>
      </c>
      <c r="J100" s="34"/>
      <c r="K100" s="34"/>
      <c r="L100" s="13">
        <v>1.0519E7</v>
      </c>
      <c r="M100" s="13"/>
      <c r="N100" s="13"/>
      <c r="O100" s="13"/>
      <c r="P100" s="13"/>
      <c r="Q100" s="13"/>
      <c r="R100" s="14">
        <f t="shared" si="1"/>
        <v>10519000</v>
      </c>
      <c r="S100" s="15">
        <f t="shared" si="2"/>
        <v>10519000</v>
      </c>
      <c r="T100" s="15">
        <f t="shared" si="3"/>
        <v>10519000</v>
      </c>
      <c r="U100" s="16">
        <f t="shared" si="4"/>
        <v>0</v>
      </c>
      <c r="V100" s="17">
        <f t="shared" si="5"/>
        <v>1</v>
      </c>
      <c r="W100" s="14">
        <f t="shared" si="6"/>
        <v>24126.14679</v>
      </c>
      <c r="X100" s="35" t="s">
        <v>35</v>
      </c>
      <c r="Y100" s="44" t="s">
        <v>113</v>
      </c>
    </row>
    <row r="101" ht="15.0" hidden="1" customHeight="1">
      <c r="A101" s="35">
        <v>97.0</v>
      </c>
      <c r="B101" s="33" t="s">
        <v>365</v>
      </c>
      <c r="C101" s="34" t="s">
        <v>369</v>
      </c>
      <c r="D101" s="34" t="s">
        <v>370</v>
      </c>
      <c r="E101" s="34" t="s">
        <v>112</v>
      </c>
      <c r="F101" s="17">
        <v>260.0</v>
      </c>
      <c r="G101" s="12"/>
      <c r="H101" s="35" t="s">
        <v>56</v>
      </c>
      <c r="I101" s="35" t="s">
        <v>262</v>
      </c>
      <c r="J101" s="34" t="s">
        <v>371</v>
      </c>
      <c r="K101" s="34" t="s">
        <v>372</v>
      </c>
      <c r="L101" s="13"/>
      <c r="M101" s="13"/>
      <c r="N101" s="13"/>
      <c r="O101" s="13"/>
      <c r="P101" s="13"/>
      <c r="Q101" s="13">
        <v>3356122.0</v>
      </c>
      <c r="R101" s="14">
        <f t="shared" si="1"/>
        <v>3356122</v>
      </c>
      <c r="S101" s="15">
        <f t="shared" si="2"/>
        <v>3356122</v>
      </c>
      <c r="T101" s="15">
        <f t="shared" si="3"/>
        <v>3356122</v>
      </c>
      <c r="U101" s="16">
        <f t="shared" si="4"/>
        <v>0</v>
      </c>
      <c r="V101" s="17">
        <f t="shared" si="5"/>
        <v>1</v>
      </c>
      <c r="W101" s="14">
        <f t="shared" si="6"/>
        <v>12908.16154</v>
      </c>
      <c r="X101" s="35" t="s">
        <v>35</v>
      </c>
      <c r="Y101" s="44" t="s">
        <v>248</v>
      </c>
    </row>
    <row r="102" ht="15.0" customHeight="1">
      <c r="A102" s="35">
        <v>98.0</v>
      </c>
      <c r="B102" s="33" t="s">
        <v>365</v>
      </c>
      <c r="C102" s="34" t="s">
        <v>373</v>
      </c>
      <c r="D102" s="34"/>
      <c r="E102" s="34" t="s">
        <v>112</v>
      </c>
      <c r="F102" s="17">
        <v>176.0</v>
      </c>
      <c r="G102" s="12"/>
      <c r="H102" s="19"/>
      <c r="I102" s="19"/>
      <c r="J102" s="34"/>
      <c r="K102" s="34"/>
      <c r="L102" s="13">
        <v>3849000.0</v>
      </c>
      <c r="M102" s="13"/>
      <c r="N102" s="13"/>
      <c r="O102" s="13"/>
      <c r="P102" s="13"/>
      <c r="Q102" s="13"/>
      <c r="R102" s="14">
        <f t="shared" si="1"/>
        <v>3849000</v>
      </c>
      <c r="S102" s="15">
        <f t="shared" si="2"/>
        <v>3849000</v>
      </c>
      <c r="T102" s="15">
        <f t="shared" si="3"/>
        <v>3849000</v>
      </c>
      <c r="U102" s="16">
        <f t="shared" si="4"/>
        <v>0</v>
      </c>
      <c r="V102" s="17">
        <f t="shared" si="5"/>
        <v>1</v>
      </c>
      <c r="W102" s="14">
        <f t="shared" si="6"/>
        <v>21869.31818</v>
      </c>
      <c r="X102" s="35" t="s">
        <v>35</v>
      </c>
      <c r="Y102" s="44" t="s">
        <v>113</v>
      </c>
    </row>
    <row r="103" ht="15.0" customHeight="1">
      <c r="A103" s="35">
        <v>99.0</v>
      </c>
      <c r="B103" s="33" t="s">
        <v>365</v>
      </c>
      <c r="C103" s="34" t="s">
        <v>374</v>
      </c>
      <c r="D103" s="34"/>
      <c r="E103" s="34" t="s">
        <v>112</v>
      </c>
      <c r="F103" s="17">
        <v>181.0</v>
      </c>
      <c r="G103" s="12"/>
      <c r="H103" s="19"/>
      <c r="I103" s="19"/>
      <c r="J103" s="34"/>
      <c r="K103" s="34"/>
      <c r="L103" s="13">
        <v>2569000.0</v>
      </c>
      <c r="M103" s="13"/>
      <c r="N103" s="13"/>
      <c r="O103" s="13"/>
      <c r="P103" s="13"/>
      <c r="Q103" s="13"/>
      <c r="R103" s="14">
        <f t="shared" si="1"/>
        <v>2569000</v>
      </c>
      <c r="S103" s="15">
        <f t="shared" si="2"/>
        <v>2569000</v>
      </c>
      <c r="T103" s="15">
        <f t="shared" si="3"/>
        <v>2569000</v>
      </c>
      <c r="U103" s="16">
        <f t="shared" si="4"/>
        <v>0</v>
      </c>
      <c r="V103" s="17">
        <f t="shared" si="5"/>
        <v>1</v>
      </c>
      <c r="W103" s="14">
        <f t="shared" si="6"/>
        <v>14193.37017</v>
      </c>
      <c r="X103" s="35" t="s">
        <v>35</v>
      </c>
      <c r="Y103" s="44" t="s">
        <v>113</v>
      </c>
    </row>
    <row r="104" ht="15.0" hidden="1" customHeight="1">
      <c r="A104" s="35">
        <v>100.0</v>
      </c>
      <c r="B104" s="33" t="s">
        <v>375</v>
      </c>
      <c r="C104" s="34" t="s">
        <v>376</v>
      </c>
      <c r="D104" s="34" t="s">
        <v>377</v>
      </c>
      <c r="E104" s="34" t="s">
        <v>112</v>
      </c>
      <c r="F104" s="17">
        <v>221.0</v>
      </c>
      <c r="G104" s="12"/>
      <c r="H104" s="35" t="s">
        <v>56</v>
      </c>
      <c r="I104" s="35" t="s">
        <v>32</v>
      </c>
      <c r="J104" s="34" t="s">
        <v>378</v>
      </c>
      <c r="K104" s="34" t="s">
        <v>379</v>
      </c>
      <c r="L104" s="13"/>
      <c r="M104" s="13"/>
      <c r="N104" s="13"/>
      <c r="O104" s="13"/>
      <c r="P104" s="13"/>
      <c r="Q104" s="13">
        <v>4692800.0</v>
      </c>
      <c r="R104" s="14">
        <f t="shared" si="1"/>
        <v>4692800</v>
      </c>
      <c r="S104" s="15">
        <f t="shared" si="2"/>
        <v>4692800</v>
      </c>
      <c r="T104" s="15">
        <f t="shared" si="3"/>
        <v>4692800</v>
      </c>
      <c r="U104" s="16">
        <f t="shared" si="4"/>
        <v>0</v>
      </c>
      <c r="V104" s="17">
        <f t="shared" si="5"/>
        <v>1</v>
      </c>
      <c r="W104" s="14">
        <f t="shared" si="6"/>
        <v>21234.38914</v>
      </c>
      <c r="X104" s="35" t="s">
        <v>35</v>
      </c>
      <c r="Y104" s="44" t="s">
        <v>248</v>
      </c>
    </row>
    <row r="105" ht="15.0" hidden="1" customHeight="1">
      <c r="A105" s="35">
        <v>101.0</v>
      </c>
      <c r="B105" s="33" t="s">
        <v>375</v>
      </c>
      <c r="C105" s="34" t="s">
        <v>380</v>
      </c>
      <c r="D105" s="34" t="s">
        <v>381</v>
      </c>
      <c r="E105" s="34" t="s">
        <v>112</v>
      </c>
      <c r="F105" s="17">
        <v>217.0</v>
      </c>
      <c r="G105" s="12"/>
      <c r="H105" s="35" t="s">
        <v>56</v>
      </c>
      <c r="I105" s="35" t="s">
        <v>32</v>
      </c>
      <c r="J105" s="34" t="s">
        <v>382</v>
      </c>
      <c r="K105" s="34" t="s">
        <v>383</v>
      </c>
      <c r="L105" s="13"/>
      <c r="M105" s="13"/>
      <c r="N105" s="13"/>
      <c r="O105" s="13"/>
      <c r="P105" s="13"/>
      <c r="Q105" s="13"/>
      <c r="R105" s="14" t="str">
        <f t="shared" si="1"/>
        <v/>
      </c>
      <c r="S105" s="15" t="str">
        <f t="shared" si="2"/>
        <v/>
      </c>
      <c r="T105" s="15" t="str">
        <f t="shared" si="3"/>
        <v/>
      </c>
      <c r="U105" s="16" t="str">
        <f t="shared" si="4"/>
        <v/>
      </c>
      <c r="V105" s="17">
        <f t="shared" si="5"/>
        <v>0</v>
      </c>
      <c r="W105" s="14">
        <f t="shared" si="6"/>
        <v>0</v>
      </c>
      <c r="X105" s="35" t="s">
        <v>35</v>
      </c>
      <c r="Y105" s="44" t="s">
        <v>341</v>
      </c>
    </row>
    <row r="106" ht="15.0" hidden="1" customHeight="1">
      <c r="A106" s="35">
        <v>102.0</v>
      </c>
      <c r="B106" s="33" t="s">
        <v>384</v>
      </c>
      <c r="C106" s="34" t="s">
        <v>385</v>
      </c>
      <c r="D106" s="34"/>
      <c r="E106" s="34" t="s">
        <v>72</v>
      </c>
      <c r="F106" s="17">
        <v>472.0</v>
      </c>
      <c r="G106" s="12"/>
      <c r="H106" s="35" t="s">
        <v>56</v>
      </c>
      <c r="I106" s="35" t="s">
        <v>262</v>
      </c>
      <c r="J106" s="34" t="s">
        <v>386</v>
      </c>
      <c r="K106" s="34" t="s">
        <v>387</v>
      </c>
      <c r="L106" s="13"/>
      <c r="M106" s="13">
        <v>6298000.0</v>
      </c>
      <c r="N106" s="13"/>
      <c r="O106" s="13"/>
      <c r="P106" s="13"/>
      <c r="Q106" s="13"/>
      <c r="R106" s="14">
        <f t="shared" si="1"/>
        <v>6298000</v>
      </c>
      <c r="S106" s="15">
        <f t="shared" si="2"/>
        <v>6298000</v>
      </c>
      <c r="T106" s="15">
        <f t="shared" si="3"/>
        <v>6298000</v>
      </c>
      <c r="U106" s="16">
        <f t="shared" si="4"/>
        <v>0</v>
      </c>
      <c r="V106" s="17">
        <f t="shared" si="5"/>
        <v>1</v>
      </c>
      <c r="W106" s="14">
        <f t="shared" si="6"/>
        <v>13343.22034</v>
      </c>
      <c r="X106" s="35" t="s">
        <v>35</v>
      </c>
      <c r="Y106" s="44" t="s">
        <v>388</v>
      </c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0" customHeight="1">
      <c r="A108" s="21" t="s">
        <v>389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0" customHeight="1">
      <c r="A109" s="4" t="s">
        <v>390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0" customHeight="1">
      <c r="A110" s="4" t="s">
        <v>391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0" customHeight="1">
      <c r="A111" s="4" t="s">
        <v>392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0" customHeight="1">
      <c r="A112" s="4" t="s">
        <v>393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0" customHeight="1">
      <c r="A113" s="4" t="s">
        <v>394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0" customHeight="1">
      <c r="A114" s="4" t="s">
        <v>395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0" customHeight="1">
      <c r="A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0" customHeight="1">
      <c r="A116" s="21" t="s">
        <v>396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0" customHeight="1">
      <c r="A117" s="4" t="s">
        <v>397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0" customHeight="1">
      <c r="A118" s="4" t="s">
        <v>398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0" customHeight="1">
      <c r="A119" s="4" t="s">
        <v>399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0" customHeight="1">
      <c r="A120" s="4" t="s">
        <v>400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0" customHeight="1">
      <c r="A121" s="4" t="s">
        <v>401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0" customHeight="1">
      <c r="A122" s="4" t="s">
        <v>402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autoFilter ref="$A$4:$Y$106">
    <filterColumn colId="4">
      <filters>
        <filter val="2 Pintu"/>
      </filters>
    </filterColumn>
    <filterColumn colId="5">
      <filters>
        <filter val="470"/>
        <filter val="591"/>
        <filter val="472"/>
        <filter val="550"/>
        <filter val="474"/>
        <filter val="431"/>
        <filter val="674"/>
        <filter val="511"/>
        <filter val="512"/>
        <filter val="436"/>
        <filter val="558"/>
        <filter val="639"/>
        <filter val="480"/>
        <filter val="680"/>
        <filter val="681"/>
        <filter val="562"/>
        <filter val="641"/>
        <filter val="168"/>
        <filter val="600"/>
        <filter val="569"/>
        <filter val="407"/>
        <filter val="570"/>
        <filter val="450"/>
        <filter val="176"/>
        <filter val="650"/>
        <filter val="694"/>
        <filter val="496"/>
        <filter val="658"/>
        <filter val="537"/>
        <filter val="616"/>
        <filter val="419"/>
        <filter val="181"/>
        <filter val="460"/>
        <filter val="660"/>
        <filter val="541"/>
        <filter val="542"/>
        <filter val="620"/>
        <filter val="664"/>
        <filter val="500"/>
        <filter val="467"/>
        <filter val="545"/>
        <filter val="468"/>
        <filter val="700"/>
        <filter val="502"/>
        <filter val="469"/>
        <filter val="425"/>
        <filter val="546"/>
        <filter val="624"/>
        <filter val="507"/>
        <filter val="508"/>
      </filters>
    </filterColumn>
  </autoFilter>
  <mergeCells count="17">
    <mergeCell ref="A1:Y1"/>
    <mergeCell ref="A2:Y2"/>
    <mergeCell ref="A108:K108"/>
    <mergeCell ref="A109:K109"/>
    <mergeCell ref="A110:K110"/>
    <mergeCell ref="A111:K111"/>
    <mergeCell ref="A112:K112"/>
    <mergeCell ref="A120:K120"/>
    <mergeCell ref="A121:K121"/>
    <mergeCell ref="A122:K122"/>
    <mergeCell ref="A113:K113"/>
    <mergeCell ref="A114:K114"/>
    <mergeCell ref="A115:K115"/>
    <mergeCell ref="A116:K116"/>
    <mergeCell ref="A117:K117"/>
    <mergeCell ref="A118:K118"/>
    <mergeCell ref="A119:K119"/>
  </mergeCells>
  <conditionalFormatting sqref="U5:U106">
    <cfRule type="cellIs" dxfId="0" priority="1" operator="greaterThan">
      <formula>0.1</formula>
    </cfRule>
  </conditionalFormatting>
  <dataValidations>
    <dataValidation type="list" allowBlank="1" sqref="H5:H107 H123:H205">
      <formula1>"Metal,Glass"</formula1>
    </dataValidation>
    <dataValidation type="list" allowBlank="1" sqref="I5:I107 I123:I205">
      <formula1>"Inverter,Non-Inverter"</formula1>
    </dataValidation>
    <dataValidation type="list" allowBlank="1" sqref="E5:E107 E123:E205">
      <formula1>"1 Pintu,2 Pintu,Side-by-Side,Multi-Door (4 Pintu),Multi-Door (5 Pintu)"</formula1>
    </dataValidation>
  </dataValidations>
  <printOptions/>
  <pageMargins bottom="1.0" footer="0.0" header="0.0" left="0.75" right="0.75" top="1.0"/>
  <pageSetup paperSize="9" orientation="portrait"/>
  <drawing r:id="rId1"/>
</worksheet>
</file>