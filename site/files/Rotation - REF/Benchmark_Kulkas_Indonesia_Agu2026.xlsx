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anduan" sheetId="1" r:id="rId5"/>
    <sheet state="visible" name="2_Ringkasan" sheetId="2" r:id="rId6"/>
    <sheet state="visible" name="6_Referensi" sheetId="3" r:id="rId7"/>
    <sheet state="visible" name="3_Master_Benchmark" sheetId="4" r:id="rId8"/>
    <sheet state="visible" name="4_Matriks_Segmen" sheetId="5" r:id="rId9"/>
    <sheet state="visible" name="5_Harga_Channel" sheetId="6" r:id="rId10"/>
  </sheets>
  <definedNames>
    <definedName hidden="1" localSheetId="3" name="_xlnm._FilterDatabase">'3_Master_Benchmark'!$A$4:$R$46</definedName>
  </definedNames>
  <calcPr/>
</workbook>
</file>

<file path=xl/sharedStrings.xml><?xml version="1.0" encoding="utf-8"?>
<sst xmlns="http://schemas.openxmlformats.org/spreadsheetml/2006/main" count="727" uniqueCount="360">
  <si>
    <t>LEMBAR REFERENSI — Daftar Nilai Baku (jangan diubah tanpa koordinasi)</t>
  </si>
  <si>
    <t>PANDUAN PENGGUNAAN WORKBOOK</t>
  </si>
  <si>
    <t>BENCHMARK KULKAS INDONESIA — RINGKASAN UNTUK MANAJEMEN</t>
  </si>
  <si>
    <t>Tipe Pintu</t>
  </si>
  <si>
    <t>MASTER BENCHMARK SKU — KULKAS INDONESIA</t>
  </si>
  <si>
    <t>Band Kapasitas</t>
  </si>
  <si>
    <t>Urutan membaca saat presentasi</t>
  </si>
  <si>
    <t>Material Pintu</t>
  </si>
  <si>
    <t>Kompresor</t>
  </si>
  <si>
    <t>Sheet</t>
  </si>
  <si>
    <t>Brand</t>
  </si>
  <si>
    <t>Fungsi</t>
  </si>
  <si>
    <t>Status Data</t>
  </si>
  <si>
    <t>Fokus: posisi Haier Horizon Collection terhadap pesaing utama  |  Data per 4 Agustus 2026  |  Halaman ini terhitung otomatis</t>
  </si>
  <si>
    <t>2_Ringkasan</t>
  </si>
  <si>
    <t>1 Pintu</t>
  </si>
  <si>
    <t xml:space="preserve">Data ditarik dari UFO Elektronika, </t>
  </si>
  <si>
    <t>A. POSISI HARGA HAIER vs PESAING — SKU KUNCI</t>
  </si>
  <si>
    <t>Rp/Liter adalah metrik pembanding utama karena menetralkan perbedaan kapasitas. Indeks 100 = setara Sharp SJ-IF91PG-GB.</t>
  </si>
  <si>
    <t>HALAMAN PRESENTASI. Buka sheet ini di layar. Berisi posisi harga SKU kunci, angka utama, tiga hal yang perlu keputusan, dan peringatan kualitas data.</t>
  </si>
  <si>
    <t>&lt;150 L</t>
  </si>
  <si>
    <t>Metal</t>
  </si>
  <si>
    <t>Inverter</t>
  </si>
  <si>
    <t>Haier</t>
  </si>
  <si>
    <t>Kode Model</t>
  </si>
  <si>
    <t>Terverifikasi</t>
  </si>
  <si>
    <t>2 Pintu</t>
  </si>
  <si>
    <t>4_Matriks_Segmen</t>
  </si>
  <si>
    <t>150-200 L</t>
  </si>
  <si>
    <t>Glass</t>
  </si>
  <si>
    <t>Kapasitas (L)</t>
  </si>
  <si>
    <t>Non-Inverter</t>
  </si>
  <si>
    <t>Peta portofolio. Tunjukkan di mana ada SKU dan di mana kosong — per tipe pintu, band kapasitas, dan material pintu.</t>
  </si>
  <si>
    <t>AQUA</t>
  </si>
  <si>
    <t>Harga Rata-rata (Rp)</t>
  </si>
  <si>
    <t>Asumsi - perlu cek</t>
  </si>
  <si>
    <t>Rp per Liter</t>
  </si>
  <si>
    <t>Side-by-Side</t>
  </si>
  <si>
    <t>5_Harga_Channel</t>
  </si>
  <si>
    <t>No</t>
  </si>
  <si>
    <t>Indeks (Acuan=100)</t>
  </si>
  <si>
    <t>200-250 L</t>
  </si>
  <si>
    <t>Konsistensi harga antar channel modern dan tradisional, plus status kelengkapan pengumpulan data.</t>
  </si>
  <si>
    <t>Sharp</t>
  </si>
  <si>
    <t>Belum ada data</t>
  </si>
  <si>
    <t>Series</t>
  </si>
  <si>
    <t>3_Master_Benchmark</t>
  </si>
  <si>
    <t>Multi-Door (4 Pintu)</t>
  </si>
  <si>
    <t>250-300 L</t>
  </si>
  <si>
    <t>Data mentah tingkat SKU. Buka hanya jika ada yang bertanya detail. Semua sheet lain menarik angka dari sini.</t>
  </si>
  <si>
    <t>LG</t>
  </si>
  <si>
    <t>Multi-Door (5 Pintu)</t>
  </si>
  <si>
    <t>6_Referensi</t>
  </si>
  <si>
    <t>300-350 L</t>
  </si>
  <si>
    <t>Samsung</t>
  </si>
  <si>
    <t>Daftar nilai baku untuk dropdown dan parameter acuan indeks harga.</t>
  </si>
  <si>
    <t>350-400 L</t>
  </si>
  <si>
    <t>Fitur Kunci</t>
  </si>
  <si>
    <t>Midea</t>
  </si>
  <si>
    <t>Customer Need</t>
  </si>
  <si>
    <t>400-450 L</t>
  </si>
  <si>
    <t>MODERN
UFO Elektronika
(Rp)</t>
  </si>
  <si>
    <t>Legenda warna sel</t>
  </si>
  <si>
    <t>Polytron</t>
  </si>
  <si>
    <t>MODERN
Hartono
(Rp)</t>
  </si>
  <si>
    <t>Warna</t>
  </si>
  <si>
    <t>450-500 L</t>
  </si>
  <si>
    <t>TRADISIONAL
Candi Bantas Pos
(Rp)</t>
  </si>
  <si>
    <t>Nama</t>
  </si>
  <si>
    <t>Panasonic</t>
  </si>
  <si>
    <t>TRADISIONAL
Pondok Elektronik
(Rp)</t>
  </si>
  <si>
    <t>Arti</t>
  </si>
  <si>
    <t>500-550 L</t>
  </si>
  <si>
    <t>ONLINE
E-commerce
(Rp)</t>
  </si>
  <si>
    <t>Electrolux</t>
  </si>
  <si>
    <t>Harga Rata-rata
(Rp)</t>
  </si>
  <si>
    <t>550-600 L</t>
  </si>
  <si>
    <t>Tanggal Update</t>
  </si>
  <si>
    <t>Hisense</t>
  </si>
  <si>
    <t>Sumber / Catatan</t>
  </si>
  <si>
    <t>600-650 L</t>
  </si>
  <si>
    <t>Kuning</t>
  </si>
  <si>
    <t>Toshiba</t>
  </si>
  <si>
    <t>650-700 L</t>
  </si>
  <si>
    <t>GEA</t>
  </si>
  <si>
    <t>700 L ke atas</t>
  </si>
  <si>
    <t>HRF-CTD729RITA(BK)U1</t>
  </si>
  <si>
    <t>Sel input — diisi manual oleh tim. Ini satu-satunya sel yang boleh diketik.</t>
  </si>
  <si>
    <t>PARAMETER ACUAN INDEKS HARGA</t>
  </si>
  <si>
    <t>Model acuan (benchmark leader)</t>
  </si>
  <si>
    <t>SJ-IF91PG-GB</t>
  </si>
  <si>
    <t>Hijau</t>
  </si>
  <si>
    <t>Sel hasil rumus utama (harga rata-rata, Rp/liter, indeks). Jangan ditimpa.</t>
  </si>
  <si>
    <t>Rp/Liter model acuan</t>
  </si>
  <si>
    <t>Oranye</t>
  </si>
  <si>
    <t>Nilai ASUMSI yang belum diverifikasi. Wajib dicek sebelum dipakai mengambil keputusan.</t>
  </si>
  <si>
    <t>Biru muda</t>
  </si>
  <si>
    <t>Baris brand sendiri (Haier / AQUA) — untuk memudahkan mata saat presentasi.</t>
  </si>
  <si>
    <t>Abu-abu</t>
  </si>
  <si>
    <t>Label baris / header sekunder.</t>
  </si>
  <si>
    <t>Horizon</t>
  </si>
  <si>
    <t>Logika segmentasi yang dipakai (sesuai kesepakatan tim)</t>
  </si>
  <si>
    <t>Sumbu</t>
  </si>
  <si>
    <t>Definisi &amp; alasan</t>
  </si>
  <si>
    <t>Catatan</t>
  </si>
  <si>
    <t>Indeks 100 = setara model acuan. &gt;100 = lebih mahal per liter. Ganti kode model di B21 bila acuan berubah.</t>
  </si>
  <si>
    <t>DAFTAR CHANNEL (sesuai pembagian tim)</t>
  </si>
  <si>
    <t>Sumbu 1 — Tipe Pintu</t>
  </si>
  <si>
    <t>Kategori Channel</t>
  </si>
  <si>
    <t>1 Pintu, 2 Pintu, Side-by-Side, Multi-Door 4 Pintu, Multi-Door 5 Pintu. Teknologi inverter umumnya mulai dari kelas di atas 2 pintu; kelas 2 pintu punya varian inverter dan non-inverter.</t>
  </si>
  <si>
    <t>Nama Channel</t>
  </si>
  <si>
    <t>Modern</t>
  </si>
  <si>
    <t>Sumbu 2 — Kapasitas</t>
  </si>
  <si>
    <t>UFO Elektronika</t>
  </si>
  <si>
    <t>Dipecah per 50 liter. Kelas 1 pintu mulai dari sekitar 126 L. Kelas side-by-side mulai dari 400 L. Band diperluas hingga 700 L ke atas untuk menampung SKU jumbo terbaru.</t>
  </si>
  <si>
    <t>Hartono Elektronika</t>
  </si>
  <si>
    <t>ABT Pro; Active Fresh Zone; Magnetic Freshness</t>
  </si>
  <si>
    <t>Tradisional</t>
  </si>
  <si>
    <t>Halo product / statement dapur premium</t>
  </si>
  <si>
    <t>Sumbu 3 — Material Pintu</t>
  </si>
  <si>
    <t>Candi Bantas Pos</t>
  </si>
  <si>
    <t>Metal dan Glass. Ini bukan sekadar spesifikasi: material menentukan apakah kulkas cocok dipajang di dapur terbuka atau bahkan terlihat dari ruang tamu — jadi ini sumbu keputusan konsumen, bukan sumbu teknis.</t>
  </si>
  <si>
    <t>Pondok Elektronik</t>
  </si>
  <si>
    <t>Online</t>
  </si>
  <si>
    <t>Sumbu 4 — Customer Need</t>
  </si>
  <si>
    <t>E-commerce / Marketplace</t>
  </si>
  <si>
    <t>Setiap SKU diberi label job-to-be-done. Benchmark dimulai dari kebutuhan pasar, baru turun ke harga — bukan sebaliknya.</t>
  </si>
  <si>
    <t>Sumbu 5 — Channel</t>
  </si>
  <si>
    <t>Modern (UFO, Hartono) vs Tradisional (Candi Bantas Pos, Pondok Elektronik) vs Online. Harga tidak boleh dirata-rata lintas channel tanpa melihat spread-nya.</t>
  </si>
  <si>
    <t>04-Agu-2026</t>
  </si>
  <si>
    <t>UFO Elektronika, Agu-2026. Material pintu = asumsi.</t>
  </si>
  <si>
    <t>Cara memperbarui data</t>
  </si>
  <si>
    <t>1. Buka 3_Master_Benchmark. Isi hanya sel berwarna kuning (harga per channel, kapasitas, material pintu).</t>
  </si>
  <si>
    <t>2. Untuk SKU baru, tambahkan baris di bawah baris terakhir, lalu salin rumus kolom G, Q sampai W dari baris di atasnya.</t>
  </si>
  <si>
    <t>3. Perbarui kolom 'Tanggal Update' dan 'Sumber / Catatan' setiap kali mengubah harga. Tanpa jejak sumber, angka tidak bisa dipertanggungjawabkan di rapat.</t>
  </si>
  <si>
    <t>HRF-CTD779RSA(BK)U1</t>
  </si>
  <si>
    <t>4. Ubah status dari 'Asumsi - perlu cek' menjadi 'Terverifikasi' hanya setelah dikonfirmasi ke sumber resmi atau survei toko langsung.</t>
  </si>
  <si>
    <t>5. Sheet 2, 4, dan 5 akan ikut terbarui otomatis. Tidak perlu diubah manual.</t>
  </si>
  <si>
    <t>6. Frekuensi yang disarankan: mingguan, dengan pencatatan tambahan saat Harbolnas, Ramadan, dan periode pameran seperti Jakarta Fair.</t>
  </si>
  <si>
    <t>Disusun sebagai kerangka kerja benchmark. Seluruh angka harga bersumber dari listing ritel publik dan rilis pers, bukan data penjualan internal atau panel berbayar (GfK/MarketHac).</t>
  </si>
  <si>
    <t>ABT Pro; Active Fresh Zone; kapasitas jumbo</t>
  </si>
  <si>
    <t>Keluarga besar 5+ org, stok belanja bulanan</t>
  </si>
  <si>
    <t>HRF-CTD779RAA(BK)</t>
  </si>
  <si>
    <t>ABT Pro; kapasitas jumbo</t>
  </si>
  <si>
    <t>Kapasitas maksimal dengan harga masuk akal</t>
  </si>
  <si>
    <t>HRF-CMD589RSG(WT)U1</t>
  </si>
  <si>
    <t>Space Fit</t>
  </si>
  <si>
    <t>5 pintu; desain hemat ruang</t>
  </si>
  <si>
    <t>Dapur sempit tapi butuh kompartemen terpisah</t>
  </si>
  <si>
    <t>HRF-CTD579RSG(WT)U1</t>
  </si>
  <si>
    <t>Desain hemat ruang</t>
  </si>
  <si>
    <t>Apartemen / rumah tipe menengah</t>
  </si>
  <si>
    <t>HRF-CTD619RSG(WT)U1</t>
  </si>
  <si>
    <t>Space Slim</t>
  </si>
  <si>
    <t>HRF-CTD579RAG(BK)</t>
  </si>
  <si>
    <t>Bodi slim, kapasitas besar</t>
  </si>
  <si>
    <t>Muat di celah dapur sempit</t>
  </si>
  <si>
    <t>HRF-CTD619RSG(CG)U1</t>
  </si>
  <si>
    <t>Bodi slim; varian Charcoal Grey</t>
  </si>
  <si>
    <t>Harga BELUM ditemukan - WAJIB dicek tim.</t>
  </si>
  <si>
    <t>HRF-CTD579RSG(BK)U1</t>
  </si>
  <si>
    <t>Bodi slim</t>
  </si>
  <si>
    <t>Upgrade pertama dari 2 pintu</t>
  </si>
  <si>
    <t>Bodi slim; entry multi-door</t>
  </si>
  <si>
    <t>Entry point multi-door termurah Haier</t>
  </si>
  <si>
    <t>MATRIKS SEGMENTASI — PETA PORTOFOLIO &amp; POSISI HARGA</t>
  </si>
  <si>
    <t>UFO Elektronika, Agu-2026. TITIK KANIBALISASI vs AQUA.</t>
  </si>
  <si>
    <t>Semua angka terhitung otomatis dari 3_Master_Benchmark. Sel kosong = tidak ada SKU di segmen tersebut (ini adalah GAP, bukan error).</t>
  </si>
  <si>
    <t>GRID 1 — CAKUPAN PORTOFOLIO per TIPE PINTU (jumlah SKU)</t>
  </si>
  <si>
    <t>Baca: di mana kita punya SKU, di mana kompetitor punya dan kita tidak. Angka 0 di kolom Haier/AQUA = white space.</t>
  </si>
  <si>
    <t>ANALISIS HARGA PER CHANNEL</t>
  </si>
  <si>
    <t>[isi fitur]</t>
  </si>
  <si>
    <t>Tujuan: melihat apakah harga kita konsisten antar channel. Spread besar = risiko konflik channel dan kebingungan konsumen.</t>
  </si>
  <si>
    <t>[isi kebutuhan pelanggan]</t>
  </si>
  <si>
    <t>TABEL A — HARGA RATA-RATA per BRAND per CHANNEL (Rp)</t>
  </si>
  <si>
    <t>Sel kosong = brand tersebut belum ada datanya di channel itu. Prioritaskan pengisian kolom yang masih kosong.</t>
  </si>
  <si>
    <t>GC-B257SQYL</t>
  </si>
  <si>
    <t>MODERN - UFO Elektronika</t>
  </si>
  <si>
    <t>MODERN - Hartono</t>
  </si>
  <si>
    <t>TRADISIONAL - Candi Bantas Pos</t>
  </si>
  <si>
    <t>TRADISIONAL - Pondok Elektronik</t>
  </si>
  <si>
    <t>ONLINE - E-commerce</t>
  </si>
  <si>
    <t>CONTOH BARIS - ganti dengan SKU AQUA riil. Kritis untuk cek kanibalisasi.</t>
  </si>
  <si>
    <t>Jml SKU
Terdata</t>
  </si>
  <si>
    <t>[isi kode model]</t>
  </si>
  <si>
    <t>[isi seri]</t>
  </si>
  <si>
    <t>CONTOH BARIS - ganti dengan SKU AQUA riil.</t>
  </si>
  <si>
    <t>RS90F65DNFSE</t>
  </si>
  <si>
    <t>Plasmacluster Ion; J-Tech Inverter; Full Tempered Glass</t>
  </si>
  <si>
    <t>Keluarga besar, cari merek paling dipercaya</t>
  </si>
  <si>
    <t>Media/ritel, Mei-2026. MODEL ACUAN BENCHMARK.</t>
  </si>
  <si>
    <t>SJ-IF51P-GCG</t>
  </si>
  <si>
    <t>J-Tech Inverter; humidity control; kaca motif</t>
  </si>
  <si>
    <t>Tampilan premium tanpa harga tertinggi</t>
  </si>
  <si>
    <t>Media/ritel, Mei-2026.</t>
  </si>
  <si>
    <t>MDRS715FGF30ID</t>
  </si>
  <si>
    <t>SJ-IF51PG-BK</t>
  </si>
  <si>
    <t>Twist Ice Maker; 4 boks freezer</t>
  </si>
  <si>
    <t>Multi-door entry dengan brand kuat</t>
  </si>
  <si>
    <t>Mitra10, 2026.</t>
  </si>
  <si>
    <t>SJ-IF90PM-DS</t>
  </si>
  <si>
    <t>Side-by-side 4 pintu</t>
  </si>
  <si>
    <t>Statement dapur + kapasitas</t>
  </si>
  <si>
    <t>B. ANGKA KUNCI</t>
  </si>
  <si>
    <t>Metrik</t>
  </si>
  <si>
    <t>Nilai</t>
  </si>
  <si>
    <t>Jumlah SKU dalam benchmark</t>
  </si>
  <si>
    <t>Mitra10, 2026. Kapasitas &amp; material perlu dicek.</t>
  </si>
  <si>
    <t>SJ-IG963PG-BK</t>
  </si>
  <si>
    <t>Plasmacluster; kaca hitam</t>
  </si>
  <si>
    <t>Jumlah SKU Haier</t>
  </si>
  <si>
    <t>Kapasitas besar tanpa pindah ke multi-door</t>
  </si>
  <si>
    <t>Rp/Liter rata-rata Haier — Multi-Door 4 Pintu</t>
  </si>
  <si>
    <t>SJ-IG863PG-BK</t>
  </si>
  <si>
    <t>Rp/Liter rata-rata Sharp — Multi-Door 4 Pintu</t>
  </si>
  <si>
    <t>Kapasitas besar, budget menengah</t>
  </si>
  <si>
    <t>Selisih Haier vs Sharp (Multi-Door 4 Pintu)</t>
  </si>
  <si>
    <t>SJ-IG962PM-SL</t>
  </si>
  <si>
    <t>Plasmacluster; finish metal</t>
  </si>
  <si>
    <t>Kapasitas besar, harga lebih rendah dari glass</t>
  </si>
  <si>
    <t>Rp/Liter SKU volume Haier (Horizon 779RAA)</t>
  </si>
  <si>
    <t>Mitra10, 2026. Selisih Glass vs Metal terlihat di sini.</t>
  </si>
  <si>
    <t>SJ-456GI-MK</t>
  </si>
  <si>
    <t>Rp/Liter SKU acuan Sharp (SJ-IF91PG-GB)</t>
  </si>
  <si>
    <t>Selisih SKU volume Haier vs acuan Sharp</t>
  </si>
  <si>
    <t>Inverter; No Frost</t>
  </si>
  <si>
    <t>Keluarga inti, kebutuhan standar</t>
  </si>
  <si>
    <t>Mitra10, 2026. Kapasitas perlu dicek.</t>
  </si>
  <si>
    <t>Harga tertinggi Haier (Rp)</t>
  </si>
  <si>
    <t>SJ-326XI-MK</t>
  </si>
  <si>
    <t>Harga terendah Haier (Rp)</t>
  </si>
  <si>
    <t>Keluarga muda</t>
  </si>
  <si>
    <t>SKU berstatus 'Terverifikasi'</t>
  </si>
  <si>
    <t>SJ-317MG</t>
  </si>
  <si>
    <t>SKU berstatus 'Belum ada data'</t>
  </si>
  <si>
    <t>Non-inverter, entry</t>
  </si>
  <si>
    <t>Entry level, sensitif harga</t>
  </si>
  <si>
    <t>Catatan: Rp/Liter hanya boleh dibandingkan DALAM tipe pintu yang sama. Rata-rata lintas tipe pintu menyesatkan, karena portofolio Haier saat ini seluruhnya multi-door sementara Sharp punya banyak SKU 2 pintu yang murah per liter. Angka rata-rata Haier juga tertarik ke atas oleh halo product 729RITA — karena itu baris 'SKU volume' di atas lebih mewakili posisi harga sebenarnya.</t>
  </si>
  <si>
    <t>C. TIGA HAL YANG PERLU KEPUTUSAN MANAJEMEN</t>
  </si>
  <si>
    <t>Temuan</t>
  </si>
  <si>
    <t>Bukti dari Data</t>
  </si>
  <si>
    <t>GC-X257CSEW</t>
  </si>
  <si>
    <t>InstaView</t>
  </si>
  <si>
    <t>Yang Perlu Diputuskan</t>
  </si>
  <si>
    <t>InstaView Door-in-Door; UVnano; Smart Control</t>
  </si>
  <si>
    <t>1. Haier TIDAK memasang price premium.</t>
  </si>
  <si>
    <t>Premium tech + gaya hidup smart home</t>
  </si>
  <si>
    <t>Horizon 779RAA berada di sekitar Rp25,7 rb/liter, LEBIH RENDAH dari flagship Sharp (~Rp29,1 rb/liter) padahal kapasitasnya 61 liter lebih besar. Ini strategi 'more for the same', bukan 'more for more'.</t>
  </si>
  <si>
    <t>GRID 2 — CAKUPAN PORTOFOLIO per BAND KAPASITAS (jumlah SKU)</t>
  </si>
  <si>
    <t>Blibli listing, harga belum terekstrak. WAJIB dicek.</t>
  </si>
  <si>
    <t>KEPUTUSAN: apakah ini penetration pricing sementara, atau posisi permanen? Jawabannya menentukan target margin 2027.</t>
  </si>
  <si>
    <t>Baca: apakah tangga kapasitas kita rapat atau berlubang. Lubang = konsumen dengan budget itu diarahkan ke merek lain.</t>
  </si>
  <si>
    <t>GC-L257CQEL/BL</t>
  </si>
  <si>
    <t>2. Entry point Rp8,99 juta berisiko kanibalisasi dengan AQUA.</t>
  </si>
  <si>
    <t>SKU Space Slim 502L masuk ke pita harga yang secara logika merek seharusnya milik AQUA, dan hanya Rp1 juta di bawah Sharp SJ-IF51.</t>
  </si>
  <si>
    <t>KEPUTUSAN: pindahkan SKU ini ke AQUA, atau naikkan ke atas Rp10 juta untuk menjaga persepsi premium merek Haier.</t>
  </si>
  <si>
    <t>Smart Inverter Compressor</t>
  </si>
  <si>
    <t>Kapasitas besar merek Korea</t>
  </si>
  <si>
    <t>3. Ada lubang portofolio di pita Rp22-35 juta.</t>
  </si>
  <si>
    <t>Antara Horizon 779RSA (Rp22 jt) dan 729RITA (Rp35 jt) tidak ada SKU. Samsung Bespoke bermain sendirian di rentang ini.</t>
  </si>
  <si>
    <t>KEPUTUSAN: apakah lubang ini disengaja, dan kapan akan diisi? Setiap bulan kosong = transaksi bernilai tinggi lari ke Samsung.</t>
  </si>
  <si>
    <t>Mitra10, 2026. Material perlu dicek.</t>
  </si>
  <si>
    <t>D. PERINGATAN KUALITAS DATA — sampaikan di awal presentasi</t>
  </si>
  <si>
    <t>• Harga Haier baru bersumber dari 1 peritel (UFO Elektronika). Belum ada data Hartono, Candi Bantas Pos, maupun Pondok Elektronik.</t>
  </si>
  <si>
    <t>• Material pintu seluruh SKU Haier masih ASUMSI. Karena material adalah sumbu segmentasi utama tim, ini prioritas verifikasi nomor satu.</t>
  </si>
  <si>
    <t>Smart Inverter Compressor; pintu UltraSleek</t>
  </si>
  <si>
    <t>Kapasitas maksimal, harga agresif</t>
  </si>
  <si>
    <t>TABEL B — KONSISTENSI HARGA ANTAR CHANNEL</t>
  </si>
  <si>
    <t>• Data AQUA belum ada sama sekali - tanpa ini, analisis kanibalisasi tidak bisa dituntaskan.</t>
  </si>
  <si>
    <t>Spread = (harga tertinggi - terendah) / terendah. Di atas 10% biasanya memicu keluhan dealer dan tawar-menawar konsumen.</t>
  </si>
  <si>
    <t>• Kapasitas belum dipastikan gross atau nett; perbandingan Rp/Liter lintas merek baru sepenuhnya valid setelah basis diseragamkan.</t>
  </si>
  <si>
    <t>Rata-rata Spread
Antar-Channel</t>
  </si>
  <si>
    <t>SKU dengan Spread
&gt; 10%</t>
  </si>
  <si>
    <t>Blibli, 2026. Pesaing harga langsung Horizon 779RAA.</t>
  </si>
  <si>
    <t>GC-L22FFLQB</t>
  </si>
  <si>
    <t>Jml SKU
Terdata &gt;1 Channel</t>
  </si>
  <si>
    <t>Multi-door merek Korea</t>
  </si>
  <si>
    <t>Blibli listing, harga belum terekstrak.</t>
  </si>
  <si>
    <t>GN-B262PQSF</t>
  </si>
  <si>
    <t>Inverter; No Frost; rak kaca tempered</t>
  </si>
  <si>
    <t>Keluarga inti</t>
  </si>
  <si>
    <t>Blibli, 2026.</t>
  </si>
  <si>
    <t>GN-B212PQNF</t>
  </si>
  <si>
    <t>Multi Air Flow; Fresh O Zone; Inverter</t>
  </si>
  <si>
    <t>Keluarga muda / pasangan baru</t>
  </si>
  <si>
    <t>Bespoke AI</t>
  </si>
  <si>
    <t>AI Home 9"/Family Hub 21,5"; SpaceMax; SmartThings</t>
  </si>
  <si>
    <t>Early adopter tech, smart home</t>
  </si>
  <si>
    <t>Media, Apr-2026. Harga ESTIMASI, wajib dicek ritel.</t>
  </si>
  <si>
    <t>RF65DB90B012SE</t>
  </si>
  <si>
    <t>Bespoke Multidoor</t>
  </si>
  <si>
    <t>Triple Cooling; panel warna kustom</t>
  </si>
  <si>
    <t>Personalisasi desain dapur</t>
  </si>
  <si>
    <t>RT38CG6420B1SE</t>
  </si>
  <si>
    <t>Ungkep Compartment</t>
  </si>
  <si>
    <t>Ungkep Compartment (fitur lokal)</t>
  </si>
  <si>
    <t>Kebiasaan masak Indonesia</t>
  </si>
  <si>
    <t>RT38CB66408J</t>
  </si>
  <si>
    <t>Bespoke 2 Pintu</t>
  </si>
  <si>
    <t>Bespoke panel warna</t>
  </si>
  <si>
    <t>Estetika dapur, budget menengah</t>
  </si>
  <si>
    <t>STATUS KELENGKAPAN DATA — apa yang harus dikumpulkan sebelum presentasi berikutnya</t>
  </si>
  <si>
    <t>Channel</t>
  </si>
  <si>
    <t>Jml SKU Terisi</t>
  </si>
  <si>
    <t>Total SKU di Master</t>
  </si>
  <si>
    <t>% Kelengkapan</t>
  </si>
  <si>
    <t>RT35CG5440S9SE</t>
  </si>
  <si>
    <t>Platinum Fresh; Multi Air Flow; ruang +30cm</t>
  </si>
  <si>
    <t>Kapasitas besar, budget terbatas</t>
  </si>
  <si>
    <t>Rilis pers Feb-2026 'mulai Rp5 jutaan'. Kapasitas &amp; harga riil WAJIB dicek.</t>
  </si>
  <si>
    <t>Everest</t>
  </si>
  <si>
    <t>Kapasitas terbesar di kelasnya</t>
  </si>
  <si>
    <t>Kapasitas besar harga entry</t>
  </si>
  <si>
    <t>Rilis pers Jan-2025 'mulai Rp4,5 jutaan'. Perlu cek harga terkini.</t>
  </si>
  <si>
    <t>EQE4960A-B</t>
  </si>
  <si>
    <t>UltimateTaste</t>
  </si>
  <si>
    <t>TasteLock; Dual Crisper; EvenTemp</t>
  </si>
  <si>
    <t>Positioning Eropa, food preservation</t>
  </si>
  <si>
    <t>EQE5600A-S</t>
  </si>
  <si>
    <t>UltimateTaste 700</t>
  </si>
  <si>
    <t>Kompresor inverter</t>
  </si>
  <si>
    <t>Positioning Eropa</t>
  </si>
  <si>
    <t>EQE4905A-B</t>
  </si>
  <si>
    <t>UltimateTaste 600</t>
  </si>
  <si>
    <t>No Frost; QuickFreeze; desain kaca</t>
  </si>
  <si>
    <t>Estetika + preservation</t>
  </si>
  <si>
    <t>UFO listing, harga belum terekstrak.</t>
  </si>
  <si>
    <t>RS599N4ISN</t>
  </si>
  <si>
    <t>Multi Air Flow; Super Freeze &amp; Cool</t>
  </si>
  <si>
    <t>Value big-capacity</t>
  </si>
  <si>
    <t>G2D472RINOX</t>
  </si>
  <si>
    <t>Finish Inox</t>
  </si>
  <si>
    <t>Value ekstrem, sensitif harga</t>
  </si>
  <si>
    <t>UFO Elektronika, Agu-2026. Kompresor perlu dicek.</t>
  </si>
  <si>
    <t>PRW 29MNX</t>
  </si>
  <si>
    <t>Belleza Jumbo</t>
  </si>
  <si>
    <t>Kapasitas jumbo di kelas 2 pintu</t>
  </si>
  <si>
    <t>Merek lokal, kanal tradisional kuat</t>
  </si>
  <si>
    <t>Mitra10, 2026. Kompresor perlu dicek.</t>
  </si>
  <si>
    <t>NR-BB221Q-PK</t>
  </si>
  <si>
    <t>Prime Fresh</t>
  </si>
  <si>
    <t>Prime Fresh; Inverter</t>
  </si>
  <si>
    <t>Keluarga inti, merek Jepang</t>
  </si>
  <si>
    <t>NRTC210BUND</t>
  </si>
  <si>
    <t>Chilled Zone</t>
  </si>
  <si>
    <t>Chilled Zone; Ag Clean; Low Voltage 140V</t>
  </si>
  <si>
    <t>Area listrik tidak stabil / daya rendah</t>
  </si>
  <si>
    <t>CATATAN ASUMSI &amp; KETERBATASAN DATA (wajib dibacakan saat presentasi):</t>
  </si>
  <si>
    <t>1. Seluruh harga Haier bersumber dari SATU peritel (UFO Elektronika, akses 4 Agustus 2026). Belum tervalidasi lintas channel. Selisih 5-15% antar peritel adalah normal.</t>
  </si>
  <si>
    <t>2. Kolom 'Material Pintu' untuk seluruh SKU Haier berstatus ASUMSI (sel oranye) - spesifikasi resmi belum diverifikasi. Ini WAJIB dicek karena material adalah salah satu sumbu segmentasi utama tim.</t>
  </si>
  <si>
    <t>3. Harga Samsung RS90 (Rp30 jt) berasal dari artikel media, bukan listing ritel. Perlakukan sebagai estimasi.</t>
  </si>
  <si>
    <t>4. Harga Midea bersumber dari rilis pers ('mulai dari Rp5 jutaan' / 'Rp4,5 jutaan') - ini harga terendah varian, bukan harga SKU spesifik. Kapasitas MDRS715 belum terkonfirmasi.</t>
  </si>
  <si>
    <t>5. Kapasitas belum dipastikan gross atau nett. Perbandingan Rp/Liter lintas merek baru valid setelah basis kapasitas diseragamkan.</t>
  </si>
  <si>
    <t>6. Baris AQUA masih placeholder. Tanpa data AQUA, analisis risiko kanibalisasi Haier vs AQUA tidak bisa dilakukan.</t>
  </si>
  <si>
    <t>GRID 3 — HARGA RATA-RATA per BAND KAPASITAS (Rp)</t>
  </si>
  <si>
    <t>Baca: pada kapasitas yang sama, kita lebih mahal atau lebih murah dari kompetitor.</t>
  </si>
  <si>
    <t>GRID 4 — Rp per LITER per TIPE PINTU (metrik pembanding paling adil)</t>
  </si>
  <si>
    <t>Baca: angka lebih rendah = value lebih baik per liter. Ini metrik yang menetralkan perbedaan ukuran.</t>
  </si>
  <si>
    <t>GRID 5 — CAKUPAN per MATERIAL PINTU (jumlah SKU)</t>
  </si>
  <si>
    <t>Baca: keseimbangan portofolio Metal vs Glass. Material memengaruhi estetika dapur &amp; ruang tamu - sumbu keputusan konsumen.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</si>
</sst>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-#,##0;\-"/>
    <numFmt numFmtId="165" formatCode="0;\-0;\-"/>
    <numFmt numFmtId="166" formatCode="0.0%;\-0.0%;\-"/>
  </numFmts>
  <fonts count="11">
    <font>
      <sz val="11.0"/>
      <color theme="1"/>
      <name val="Calibri"/>
      <scheme val="minor"/>
    </font>
    <font>
      <b/>
      <sz val="13.0"/>
      <color rgb="FF1F3864"/>
      <name val="Arial"/>
    </font>
    <font>
      <b/>
      <sz val="16.0"/>
      <color rgb="FFFFFFFF"/>
      <name val="Arial"/>
    </font>
    <font/>
    <font>
      <b/>
      <sz val="10.0"/>
      <color rgb="FFFFFFFF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rgb="FF1F3864"/>
      <name val="Arial"/>
    </font>
    <font>
      <sz val="10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3" fontId="4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0" fillId="0" fontId="5" numFmtId="0" xfId="0" applyAlignment="1" applyFont="1">
      <alignment shrinkToFit="0" vertical="bottom" wrapText="0"/>
    </xf>
    <xf borderId="3" fillId="4" fontId="6" numFmtId="0" xfId="0" applyAlignment="1" applyBorder="1" applyFill="1" applyFont="1">
      <alignment shrinkToFit="0" vertical="bottom" wrapText="0"/>
    </xf>
    <xf borderId="3" fillId="0" fontId="7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5" fillId="0" fontId="7" numFmtId="0" xfId="0" applyAlignment="1" applyBorder="1" applyFont="1">
      <alignment shrinkToFit="0" vertical="center" wrapText="1"/>
    </xf>
    <xf borderId="6" fillId="0" fontId="3" numFmtId="0" xfId="0" applyBorder="1" applyFont="1"/>
    <xf borderId="0" fillId="0" fontId="8" numFmtId="0" xfId="0" applyAlignment="1" applyFont="1">
      <alignment horizontal="center" vertical="center"/>
    </xf>
    <xf borderId="7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center"/>
    </xf>
    <xf borderId="3" fillId="3" fontId="4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3" fillId="5" fontId="7" numFmtId="0" xfId="0" applyAlignment="1" applyBorder="1" applyFill="1" applyFont="1">
      <alignment shrinkToFit="0" vertical="bottom" wrapText="0"/>
    </xf>
    <xf borderId="3" fillId="6" fontId="6" numFmtId="0" xfId="0" applyAlignment="1" applyBorder="1" applyFill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3" fillId="6" fontId="7" numFmtId="0" xfId="0" applyAlignment="1" applyBorder="1" applyFont="1">
      <alignment horizontal="center" shrinkToFit="0" vertical="center" wrapText="1"/>
    </xf>
    <xf borderId="3" fillId="6" fontId="7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3" fillId="7" fontId="7" numFmtId="0" xfId="0" applyAlignment="1" applyBorder="1" applyFill="1" applyFont="1">
      <alignment shrinkToFit="0" vertical="bottom" wrapText="0"/>
    </xf>
    <xf borderId="3" fillId="5" fontId="10" numFmtId="0" xfId="0" applyAlignment="1" applyBorder="1" applyFont="1">
      <alignment shrinkToFit="0" vertical="bottom" wrapText="0"/>
    </xf>
    <xf borderId="3" fillId="8" fontId="7" numFmtId="0" xfId="0" applyAlignment="1" applyBorder="1" applyFill="1" applyFont="1">
      <alignment shrinkToFit="0" vertical="bottom" wrapText="0"/>
    </xf>
    <xf borderId="3" fillId="6" fontId="6" numFmtId="0" xfId="0" applyAlignment="1" applyBorder="1" applyFont="1">
      <alignment horizontal="center" shrinkToFit="0" vertical="center" wrapText="0"/>
    </xf>
    <xf borderId="3" fillId="4" fontId="7" numFmtId="0" xfId="0" applyAlignment="1" applyBorder="1" applyFont="1">
      <alignment shrinkToFit="0" vertical="bottom" wrapText="0"/>
    </xf>
    <xf borderId="3" fillId="6" fontId="7" numFmtId="164" xfId="0" applyAlignment="1" applyBorder="1" applyFont="1" applyNumberFormat="1">
      <alignment horizontal="center" shrinkToFit="0" vertical="center" wrapText="1"/>
    </xf>
    <xf borderId="3" fillId="6" fontId="7" numFmtId="0" xfId="0" applyAlignment="1" applyBorder="1" applyFont="1">
      <alignment horizontal="center" shrinkToFit="0" vertical="center" wrapText="0"/>
    </xf>
    <xf borderId="3" fillId="7" fontId="7" numFmtId="164" xfId="0" applyAlignment="1" applyBorder="1" applyFont="1" applyNumberFormat="1">
      <alignment shrinkToFit="0" vertical="bottom" wrapText="0"/>
    </xf>
    <xf borderId="3" fillId="6" fontId="7" numFmtId="164" xfId="0" applyAlignment="1" applyBorder="1" applyFont="1" applyNumberFormat="1">
      <alignment horizontal="right" shrinkToFit="0" vertical="center" wrapText="1"/>
    </xf>
    <xf borderId="3" fillId="9" fontId="7" numFmtId="0" xfId="0" applyAlignment="1" applyBorder="1" applyFill="1" applyFont="1">
      <alignment horizontal="center" shrinkToFit="0" vertical="center" wrapText="1"/>
    </xf>
    <xf borderId="3" fillId="6" fontId="6" numFmtId="164" xfId="0" applyAlignment="1" applyBorder="1" applyFont="1" applyNumberFormat="1">
      <alignment horizontal="center" shrinkToFit="0" vertical="center" wrapText="1"/>
    </xf>
    <xf borderId="3" fillId="5" fontId="10" numFmtId="164" xfId="0" applyAlignment="1" applyBorder="1" applyFont="1" applyNumberFormat="1">
      <alignment horizontal="center" shrinkToFit="0" vertical="center" wrapText="1"/>
    </xf>
    <xf borderId="3" fillId="5" fontId="10" numFmtId="164" xfId="0" applyAlignment="1" applyBorder="1" applyFont="1" applyNumberFormat="1">
      <alignment horizontal="right" shrinkToFit="0" vertical="center" wrapText="1"/>
    </xf>
    <xf borderId="3" fillId="6" fontId="6" numFmtId="165" xfId="0" applyAlignment="1" applyBorder="1" applyFont="1" applyNumberFormat="1">
      <alignment horizontal="center" shrinkToFit="0" vertical="center" wrapText="1"/>
    </xf>
    <xf borderId="3" fillId="7" fontId="6" numFmtId="164" xfId="0" applyAlignment="1" applyBorder="1" applyFont="1" applyNumberFormat="1">
      <alignment horizontal="center" shrinkToFit="0" vertical="center" wrapText="1"/>
    </xf>
    <xf borderId="3" fillId="6" fontId="5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3" fillId="9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164" xfId="0" applyAlignment="1" applyBorder="1" applyFont="1" applyNumberFormat="1">
      <alignment horizontal="center" shrinkToFit="0" vertical="center" wrapText="1"/>
    </xf>
    <xf borderId="3" fillId="0" fontId="7" numFmtId="164" xfId="0" applyAlignment="1" applyBorder="1" applyFont="1" applyNumberFormat="1">
      <alignment horizontal="right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0" fontId="7" numFmtId="165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horizontal="center" readingOrder="0" shrinkToFit="0" vertical="center" wrapText="1"/>
    </xf>
    <xf borderId="3" fillId="7" fontId="6" numFmtId="165" xfId="0" applyAlignment="1" applyBorder="1" applyFont="1" applyNumberFormat="1">
      <alignment horizontal="center" shrinkToFit="0" vertical="center" wrapText="1"/>
    </xf>
    <xf borderId="3" fillId="7" fontId="6" numFmtId="166" xfId="0" applyAlignment="1" applyBorder="1" applyFont="1" applyNumberFormat="1">
      <alignment horizontal="center" shrinkToFit="0" vertical="center" wrapText="1"/>
    </xf>
    <xf borderId="5" fillId="8" fontId="5" numFmtId="0" xfId="0" applyAlignment="1" applyBorder="1" applyFont="1">
      <alignment shrinkToFit="0" vertical="center" wrapText="1"/>
    </xf>
    <xf borderId="3" fillId="10" fontId="6" numFmtId="0" xfId="0" applyAlignment="1" applyBorder="1" applyFill="1" applyFont="1">
      <alignment shrinkToFit="0" vertical="bottom" wrapText="0"/>
    </xf>
    <xf borderId="5" fillId="0" fontId="7" numFmtId="0" xfId="0" applyAlignment="1" applyBorder="1" applyFont="1">
      <alignment shrinkToFit="0" vertical="top" wrapText="1"/>
    </xf>
    <xf borderId="5" fillId="5" fontId="7" numFmtId="0" xfId="0" applyAlignment="1" applyBorder="1" applyFont="1">
      <alignment shrinkToFit="0" vertical="top" wrapText="1"/>
    </xf>
    <xf borderId="5" fillId="8" fontId="7" numFmtId="0" xfId="0" applyAlignment="1" applyBorder="1" applyFont="1">
      <alignment shrinkToFit="0" vertical="bottom" wrapText="0"/>
    </xf>
    <xf borderId="3" fillId="0" fontId="7" numFmtId="166" xfId="0" applyAlignment="1" applyBorder="1" applyFont="1" applyNumberFormat="1">
      <alignment horizontal="center" shrinkToFit="0" vertical="center" wrapText="1"/>
    </xf>
    <xf borderId="3" fillId="5" fontId="6" numFmtId="166" xfId="0" applyAlignment="1" applyBorder="1" applyFont="1" applyNumberFormat="1">
      <alignment horizontal="center" shrinkToFit="0" vertical="center" wrapText="1"/>
    </xf>
    <xf borderId="3" fillId="8" fontId="7" numFmtId="0" xfId="0" applyAlignment="1" applyBorder="1" applyFont="1">
      <alignment horizontal="center"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5" width="25.0"/>
    <col customWidth="1" min="6" max="26" width="8.71"/>
  </cols>
  <sheetData>
    <row r="1" ht="30.0" customHeight="1">
      <c r="A1" s="2" t="s">
        <v>1</v>
      </c>
      <c r="B1" s="3"/>
      <c r="C1" s="3"/>
      <c r="D1" s="3"/>
      <c r="E1" s="5"/>
    </row>
    <row r="3">
      <c r="A3" s="1" t="s">
        <v>6</v>
      </c>
    </row>
    <row r="4">
      <c r="A4" s="4" t="s">
        <v>9</v>
      </c>
      <c r="B4" s="4" t="s">
        <v>11</v>
      </c>
    </row>
    <row r="5" ht="33.75" customHeight="1">
      <c r="A5" s="7" t="s">
        <v>14</v>
      </c>
      <c r="B5" s="10" t="s">
        <v>19</v>
      </c>
      <c r="C5" s="11"/>
      <c r="D5" s="11"/>
      <c r="E5" s="13"/>
    </row>
    <row r="6" ht="33.75" customHeight="1">
      <c r="A6" s="7" t="s">
        <v>27</v>
      </c>
      <c r="B6" s="10" t="s">
        <v>32</v>
      </c>
      <c r="C6" s="11"/>
      <c r="D6" s="11"/>
      <c r="E6" s="13"/>
    </row>
    <row r="7" ht="33.75" customHeight="1">
      <c r="A7" s="7" t="s">
        <v>38</v>
      </c>
      <c r="B7" s="10" t="s">
        <v>42</v>
      </c>
      <c r="C7" s="11"/>
      <c r="D7" s="11"/>
      <c r="E7" s="13"/>
    </row>
    <row r="8" ht="33.75" customHeight="1">
      <c r="A8" s="7" t="s">
        <v>46</v>
      </c>
      <c r="B8" s="10" t="s">
        <v>49</v>
      </c>
      <c r="C8" s="11"/>
      <c r="D8" s="11"/>
      <c r="E8" s="13"/>
    </row>
    <row r="9" ht="33.75" customHeight="1">
      <c r="A9" s="7" t="s">
        <v>52</v>
      </c>
      <c r="B9" s="10" t="s">
        <v>55</v>
      </c>
      <c r="C9" s="11"/>
      <c r="D9" s="11"/>
      <c r="E9" s="13"/>
    </row>
    <row r="12">
      <c r="A12" s="1" t="s">
        <v>62</v>
      </c>
    </row>
    <row r="13" ht="15.0" customHeight="1">
      <c r="A13" s="4" t="s">
        <v>65</v>
      </c>
      <c r="B13" s="4" t="s">
        <v>68</v>
      </c>
      <c r="C13" s="18" t="s">
        <v>71</v>
      </c>
      <c r="D13" s="11"/>
      <c r="E13" s="13"/>
    </row>
    <row r="14">
      <c r="A14" s="19"/>
      <c r="B14" s="21" t="s">
        <v>81</v>
      </c>
      <c r="C14" s="25" t="s">
        <v>87</v>
      </c>
      <c r="D14" s="11"/>
      <c r="E14" s="13"/>
    </row>
    <row r="15">
      <c r="A15" s="26"/>
      <c r="B15" s="21" t="s">
        <v>91</v>
      </c>
      <c r="C15" s="25" t="s">
        <v>92</v>
      </c>
      <c r="D15" s="11"/>
      <c r="E15" s="13"/>
    </row>
    <row r="16">
      <c r="A16" s="28"/>
      <c r="B16" s="21" t="s">
        <v>94</v>
      </c>
      <c r="C16" s="25" t="s">
        <v>95</v>
      </c>
      <c r="D16" s="11"/>
      <c r="E16" s="13"/>
    </row>
    <row r="17">
      <c r="A17" s="23"/>
      <c r="B17" s="21" t="s">
        <v>96</v>
      </c>
      <c r="C17" s="25" t="s">
        <v>97</v>
      </c>
      <c r="D17" s="11"/>
      <c r="E17" s="13"/>
    </row>
    <row r="18">
      <c r="A18" s="30"/>
      <c r="B18" s="21" t="s">
        <v>98</v>
      </c>
      <c r="C18" s="25" t="s">
        <v>99</v>
      </c>
      <c r="D18" s="11"/>
      <c r="E18" s="13"/>
    </row>
    <row r="21" ht="15.75" customHeight="1">
      <c r="A21" s="1" t="s">
        <v>101</v>
      </c>
    </row>
    <row r="22" ht="15.0" customHeight="1">
      <c r="A22" s="4" t="s">
        <v>102</v>
      </c>
      <c r="B22" s="18" t="s">
        <v>103</v>
      </c>
      <c r="C22" s="11"/>
      <c r="D22" s="11"/>
      <c r="E22" s="13"/>
    </row>
    <row r="23" ht="45.75" customHeight="1">
      <c r="A23" s="7" t="s">
        <v>107</v>
      </c>
      <c r="B23" s="10" t="s">
        <v>109</v>
      </c>
      <c r="C23" s="11"/>
      <c r="D23" s="11"/>
      <c r="E23" s="13"/>
    </row>
    <row r="24" ht="45.75" customHeight="1">
      <c r="A24" s="7" t="s">
        <v>112</v>
      </c>
      <c r="B24" s="10" t="s">
        <v>114</v>
      </c>
      <c r="C24" s="11"/>
      <c r="D24" s="11"/>
      <c r="E24" s="13"/>
    </row>
    <row r="25" ht="45.75" customHeight="1">
      <c r="A25" s="7" t="s">
        <v>119</v>
      </c>
      <c r="B25" s="10" t="s">
        <v>121</v>
      </c>
      <c r="C25" s="11"/>
      <c r="D25" s="11"/>
      <c r="E25" s="13"/>
    </row>
    <row r="26" ht="45.75" customHeight="1">
      <c r="A26" s="7" t="s">
        <v>124</v>
      </c>
      <c r="B26" s="10" t="s">
        <v>126</v>
      </c>
      <c r="C26" s="11"/>
      <c r="D26" s="11"/>
      <c r="E26" s="13"/>
    </row>
    <row r="27" ht="45.75" customHeight="1">
      <c r="A27" s="7" t="s">
        <v>127</v>
      </c>
      <c r="B27" s="10" t="s">
        <v>128</v>
      </c>
      <c r="C27" s="11"/>
      <c r="D27" s="11"/>
      <c r="E27" s="13"/>
    </row>
    <row r="28" ht="15.75" customHeight="1"/>
    <row r="29" ht="15.75" customHeight="1"/>
    <row r="30" ht="15.75" customHeight="1">
      <c r="A30" s="1" t="s">
        <v>131</v>
      </c>
    </row>
    <row r="31" ht="15.75" customHeight="1">
      <c r="A31" s="42" t="s">
        <v>132</v>
      </c>
    </row>
    <row r="32" ht="15.75" customHeight="1">
      <c r="A32" s="42" t="s">
        <v>133</v>
      </c>
    </row>
    <row r="33" ht="15.75" customHeight="1">
      <c r="A33" s="42" t="s">
        <v>134</v>
      </c>
    </row>
    <row r="34" ht="15.75" customHeight="1">
      <c r="A34" s="42" t="s">
        <v>136</v>
      </c>
    </row>
    <row r="35" ht="15.75" customHeight="1">
      <c r="A35" s="42" t="s">
        <v>137</v>
      </c>
    </row>
    <row r="36" ht="15.75" customHeight="1">
      <c r="A36" s="42" t="s">
        <v>138</v>
      </c>
    </row>
    <row r="37" ht="15.75" customHeight="1"/>
    <row r="38" ht="15.75" customHeight="1"/>
    <row r="39" ht="15.75" customHeight="1">
      <c r="A39" s="6" t="s">
        <v>139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E1"/>
    <mergeCell ref="B5:E5"/>
    <mergeCell ref="B6:E6"/>
    <mergeCell ref="B7:E7"/>
    <mergeCell ref="B8:E8"/>
    <mergeCell ref="B9:E9"/>
    <mergeCell ref="C13:E13"/>
    <mergeCell ref="C14:E14"/>
    <mergeCell ref="C15:E15"/>
    <mergeCell ref="C16:E16"/>
    <mergeCell ref="C17:E17"/>
    <mergeCell ref="C18:E18"/>
    <mergeCell ref="B22:E22"/>
    <mergeCell ref="B23:E23"/>
    <mergeCell ref="A34:E34"/>
    <mergeCell ref="A35:E35"/>
    <mergeCell ref="A36:E36"/>
    <mergeCell ref="A39:E39"/>
    <mergeCell ref="B24:E24"/>
    <mergeCell ref="B25:E25"/>
    <mergeCell ref="B26:E26"/>
    <mergeCell ref="B27:E27"/>
    <mergeCell ref="A31:E31"/>
    <mergeCell ref="A32:E32"/>
    <mergeCell ref="A33:E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26.0"/>
    <col customWidth="1" min="3" max="3" width="18.0"/>
    <col customWidth="1" min="4" max="4" width="16.0"/>
    <col customWidth="1" min="5" max="5" width="18.0"/>
    <col customWidth="1" min="6" max="6" width="16.0"/>
    <col customWidth="1" min="7" max="7" width="18.0"/>
    <col customWidth="1" min="8" max="26" width="8.71"/>
  </cols>
  <sheetData>
    <row r="1" ht="30.0" customHeight="1">
      <c r="A1" s="2" t="s">
        <v>2</v>
      </c>
      <c r="B1" s="3"/>
      <c r="C1" s="3"/>
      <c r="D1" s="3"/>
      <c r="E1" s="3"/>
      <c r="F1" s="3"/>
      <c r="G1" s="5"/>
    </row>
    <row r="2">
      <c r="A2" s="6" t="s">
        <v>13</v>
      </c>
    </row>
    <row r="4">
      <c r="A4" s="1" t="s">
        <v>17</v>
      </c>
    </row>
    <row r="5">
      <c r="A5" s="6" t="s">
        <v>18</v>
      </c>
    </row>
    <row r="6" ht="31.5" customHeight="1">
      <c r="A6" s="4" t="s">
        <v>10</v>
      </c>
      <c r="B6" s="4" t="s">
        <v>24</v>
      </c>
      <c r="C6" s="4" t="s">
        <v>3</v>
      </c>
      <c r="D6" s="4" t="s">
        <v>30</v>
      </c>
      <c r="E6" s="4" t="s">
        <v>34</v>
      </c>
      <c r="F6" s="4" t="s">
        <v>36</v>
      </c>
      <c r="G6" s="4" t="s">
        <v>40</v>
      </c>
    </row>
    <row r="7">
      <c r="A7" s="20" t="str">
        <f t="array" ref="A7">IFERROR(INDEX('3_Master_Benchmark'!$B$5:$B$46,MATCH($B7,'3_Master_Benchmark'!$C$5:$C$46,0)),"")</f>
        <v>Haier</v>
      </c>
      <c r="B7" s="23" t="s">
        <v>86</v>
      </c>
      <c r="C7" s="22" t="str">
        <f t="array" ref="C7">IFERROR(INDEX('3_Master_Benchmark'!$E$5:$E$46,MATCH($B7,'3_Master_Benchmark'!$C$5:$C$46,0)),"")</f>
        <v>Multi-Door (4 Pintu)</v>
      </c>
      <c r="D7" s="31">
        <f t="array" ref="D7">IFERROR(INDEX('3_Master_Benchmark'!$F$5:$F$46,MATCH($B7,'3_Master_Benchmark'!$C$5:$C$46,0)),"")</f>
        <v>650</v>
      </c>
      <c r="E7" s="34" t="str">
        <f t="array" ref="E7">IFERROR(INDEX('3_Master_Benchmark'!$P$5:$P$46,MATCH($B7,'3_Master_Benchmark'!$C$5:$C$46,0)),"")</f>
        <v/>
      </c>
      <c r="F7" s="36" t="str">
        <f t="array" ref="F7">IFERROR(INDEX(#REF!,MATCH($B7,'3_Master_Benchmark'!$C$5:$C$46,0)),"")</f>
        <v/>
      </c>
      <c r="G7" s="39" t="str">
        <f t="array" ref="G7">IFERROR(INDEX(#REF!,MATCH($B7,'3_Master_Benchmark'!$C$5:$C$46,0)),"")</f>
        <v/>
      </c>
    </row>
    <row r="8">
      <c r="A8" s="20" t="str">
        <f t="array" ref="A8">IFERROR(INDEX('3_Master_Benchmark'!$B$5:$B$46,MATCH($B8,'3_Master_Benchmark'!$C$5:$C$46,0)),"")</f>
        <v>Haier</v>
      </c>
      <c r="B8" s="23" t="s">
        <v>135</v>
      </c>
      <c r="C8" s="22" t="str">
        <f t="array" ref="C8">IFERROR(INDEX('3_Master_Benchmark'!$E$5:$E$46,MATCH($B8,'3_Master_Benchmark'!$C$5:$C$46,0)),"")</f>
        <v>Multi-Door (4 Pintu)</v>
      </c>
      <c r="D8" s="31">
        <f t="array" ref="D8">IFERROR(INDEX('3_Master_Benchmark'!$F$5:$F$46,MATCH($B8,'3_Master_Benchmark'!$C$5:$C$46,0)),"")</f>
        <v>700</v>
      </c>
      <c r="E8" s="34" t="str">
        <f t="array" ref="E8">IFERROR(INDEX('3_Master_Benchmark'!$P$5:$P$46,MATCH($B8,'3_Master_Benchmark'!$C$5:$C$46,0)),"")</f>
        <v/>
      </c>
      <c r="F8" s="36" t="str">
        <f t="array" ref="F8">IFERROR(INDEX(#REF!,MATCH($B8,'3_Master_Benchmark'!$C$5:$C$46,0)),"")</f>
        <v/>
      </c>
      <c r="G8" s="39" t="str">
        <f t="array" ref="G8">IFERROR(INDEX(#REF!,MATCH($B8,'3_Master_Benchmark'!$C$5:$C$46,0)),"")</f>
        <v/>
      </c>
    </row>
    <row r="9">
      <c r="A9" s="20" t="str">
        <f t="array" ref="A9">IFERROR(INDEX('3_Master_Benchmark'!$B$5:$B$46,MATCH($B9,'3_Master_Benchmark'!$C$5:$C$46,0)),"")</f>
        <v>Haier</v>
      </c>
      <c r="B9" s="23" t="s">
        <v>142</v>
      </c>
      <c r="C9" s="22" t="str">
        <f t="array" ref="C9">IFERROR(INDEX('3_Master_Benchmark'!$E$5:$E$46,MATCH($B9,'3_Master_Benchmark'!$C$5:$C$46,0)),"")</f>
        <v>Multi-Door (4 Pintu)</v>
      </c>
      <c r="D9" s="31">
        <f t="array" ref="D9">IFERROR(INDEX('3_Master_Benchmark'!$F$5:$F$46,MATCH($B9,'3_Master_Benchmark'!$C$5:$C$46,0)),"")</f>
        <v>700</v>
      </c>
      <c r="E9" s="34" t="str">
        <f t="array" ref="E9">IFERROR(INDEX('3_Master_Benchmark'!$P$5:$P$46,MATCH($B9,'3_Master_Benchmark'!$C$5:$C$46,0)),"")</f>
        <v/>
      </c>
      <c r="F9" s="36" t="str">
        <f t="array" ref="F9">IFERROR(INDEX(#REF!,MATCH($B9,'3_Master_Benchmark'!$C$5:$C$46,0)),"")</f>
        <v/>
      </c>
      <c r="G9" s="39" t="str">
        <f t="array" ref="G9">IFERROR(INDEX(#REF!,MATCH($B9,'3_Master_Benchmark'!$C$5:$C$46,0)),"")</f>
        <v/>
      </c>
    </row>
    <row r="10">
      <c r="A10" s="20" t="str">
        <f t="array" ref="A10">IFERROR(INDEX('3_Master_Benchmark'!$B$5:$B$46,MATCH($B10,'3_Master_Benchmark'!$C$5:$C$46,0)),"")</f>
        <v>Haier</v>
      </c>
      <c r="B10" s="23" t="s">
        <v>154</v>
      </c>
      <c r="C10" s="22" t="str">
        <f t="array" ref="C10">IFERROR(INDEX('3_Master_Benchmark'!$E$5:$E$46,MATCH($B10,'3_Master_Benchmark'!$C$5:$C$46,0)),"")</f>
        <v>Multi-Door (4 Pintu)</v>
      </c>
      <c r="D10" s="31">
        <f t="array" ref="D10">IFERROR(INDEX('3_Master_Benchmark'!$F$5:$F$46,MATCH($B10,'3_Master_Benchmark'!$C$5:$C$46,0)),"")</f>
        <v>502</v>
      </c>
      <c r="E10" s="34" t="str">
        <f t="array" ref="E10">IFERROR(INDEX('3_Master_Benchmark'!$P$5:$P$46,MATCH($B10,'3_Master_Benchmark'!$C$5:$C$46,0)),"")</f>
        <v/>
      </c>
      <c r="F10" s="36" t="str">
        <f t="array" ref="F10">IFERROR(INDEX(#REF!,MATCH($B10,'3_Master_Benchmark'!$C$5:$C$46,0)),"")</f>
        <v/>
      </c>
      <c r="G10" s="39" t="str">
        <f t="array" ref="G10">IFERROR(INDEX(#REF!,MATCH($B10,'3_Master_Benchmark'!$C$5:$C$46,0)),"")</f>
        <v/>
      </c>
    </row>
    <row r="11">
      <c r="A11" s="21" t="str">
        <f t="array" ref="A11">IFERROR(INDEX('3_Master_Benchmark'!$B$5:$B$46,MATCH($B11,'3_Master_Benchmark'!$C$5:$C$46,0)),"")</f>
        <v>Sharp</v>
      </c>
      <c r="B11" s="8" t="s">
        <v>90</v>
      </c>
      <c r="C11" s="44" t="str">
        <f t="array" ref="C11">IFERROR(INDEX('3_Master_Benchmark'!$E$5:$E$46,MATCH($B11,'3_Master_Benchmark'!$C$5:$C$46,0)),"")</f>
        <v>Multi-Door (4 Pintu)</v>
      </c>
      <c r="D11" s="45">
        <f t="array" ref="D11">IFERROR(INDEX('3_Master_Benchmark'!$F$5:$F$46,MATCH($B11,'3_Master_Benchmark'!$C$5:$C$46,0)),"")</f>
        <v>639</v>
      </c>
      <c r="E11" s="46">
        <f t="array" ref="E11">IFERROR(INDEX('3_Master_Benchmark'!$P$5:$P$46,MATCH($B11,'3_Master_Benchmark'!$C$5:$C$46,0)),"")</f>
        <v>18599000</v>
      </c>
      <c r="F11" s="47" t="str">
        <f t="array" ref="F11">IFERROR(INDEX(#REF!,MATCH($B11,'3_Master_Benchmark'!$C$5:$C$46,0)),"")</f>
        <v/>
      </c>
      <c r="G11" s="48" t="str">
        <f t="array" ref="G11">IFERROR(INDEX(#REF!,MATCH($B11,'3_Master_Benchmark'!$C$5:$C$46,0)),"")</f>
        <v/>
      </c>
    </row>
    <row r="12">
      <c r="A12" s="21" t="str">
        <f t="array" ref="A12">IFERROR(INDEX('3_Master_Benchmark'!$B$5:$B$46,MATCH($B12,'3_Master_Benchmark'!$C$5:$C$46,0)),"")</f>
        <v>LG</v>
      </c>
      <c r="B12" s="8" t="s">
        <v>176</v>
      </c>
      <c r="C12" s="44" t="str">
        <f t="array" ref="C12">IFERROR(INDEX('3_Master_Benchmark'!$E$5:$E$46,MATCH($B12,'3_Master_Benchmark'!$C$5:$C$46,0)),"")</f>
        <v>Side-by-Side</v>
      </c>
      <c r="D12" s="45">
        <f t="array" ref="D12">IFERROR(INDEX('3_Master_Benchmark'!$F$5:$F$46,MATCH($B12,'3_Master_Benchmark'!$C$5:$C$46,0)),"")</f>
        <v>694</v>
      </c>
      <c r="E12" s="46">
        <f t="array" ref="E12">IFERROR(INDEX('3_Master_Benchmark'!$P$5:$P$46,MATCH($B12,'3_Master_Benchmark'!$C$5:$C$46,0)),"")</f>
        <v>12029000</v>
      </c>
      <c r="F12" s="47" t="str">
        <f t="array" ref="F12">IFERROR(INDEX(#REF!,MATCH($B12,'3_Master_Benchmark'!$C$5:$C$46,0)),"")</f>
        <v/>
      </c>
      <c r="G12" s="48" t="str">
        <f t="array" ref="G12">IFERROR(INDEX(#REF!,MATCH($B12,'3_Master_Benchmark'!$C$5:$C$46,0)),"")</f>
        <v/>
      </c>
    </row>
    <row r="13">
      <c r="A13" s="21" t="str">
        <f t="array" ref="A13">IFERROR(INDEX('3_Master_Benchmark'!$B$5:$B$46,MATCH($B13,'3_Master_Benchmark'!$C$5:$C$46,0)),"")</f>
        <v>Samsung</v>
      </c>
      <c r="B13" s="8" t="s">
        <v>187</v>
      </c>
      <c r="C13" s="44" t="str">
        <f t="array" ref="C13">IFERROR(INDEX('3_Master_Benchmark'!$E$5:$E$46,MATCH($B13,'3_Master_Benchmark'!$C$5:$C$46,0)),"")</f>
        <v>Side-by-Side</v>
      </c>
      <c r="D13" s="45">
        <f t="array" ref="D13">IFERROR(INDEX('3_Master_Benchmark'!$F$5:$F$46,MATCH($B13,'3_Master_Benchmark'!$C$5:$C$46,0)),"")</f>
        <v>641</v>
      </c>
      <c r="E13" s="46">
        <f t="array" ref="E13">IFERROR(INDEX('3_Master_Benchmark'!$P$5:$P$46,MATCH($B13,'3_Master_Benchmark'!$C$5:$C$46,0)),"")</f>
        <v>30000000</v>
      </c>
      <c r="F13" s="47" t="str">
        <f t="array" ref="F13">IFERROR(INDEX(#REF!,MATCH($B13,'3_Master_Benchmark'!$C$5:$C$46,0)),"")</f>
        <v/>
      </c>
      <c r="G13" s="48" t="str">
        <f t="array" ref="G13">IFERROR(INDEX(#REF!,MATCH($B13,'3_Master_Benchmark'!$C$5:$C$46,0)),"")</f>
        <v/>
      </c>
    </row>
    <row r="14">
      <c r="A14" s="21" t="str">
        <f t="array" ref="A14">IFERROR(INDEX('3_Master_Benchmark'!$B$5:$B$46,MATCH($B14,'3_Master_Benchmark'!$C$5:$C$46,0)),"")</f>
        <v>Midea</v>
      </c>
      <c r="B14" s="8" t="s">
        <v>195</v>
      </c>
      <c r="C14" s="44" t="str">
        <f t="array" ref="C14">IFERROR(INDEX('3_Master_Benchmark'!$E$5:$E$46,MATCH($B14,'3_Master_Benchmark'!$C$5:$C$46,0)),"")</f>
        <v>Side-by-Side</v>
      </c>
      <c r="D14" s="45" t="str">
        <f t="array" ref="D14">IFERROR(INDEX('3_Master_Benchmark'!$F$5:$F$46,MATCH($B14,'3_Master_Benchmark'!$C$5:$C$46,0)),"")</f>
        <v/>
      </c>
      <c r="E14" s="46">
        <f t="array" ref="E14">IFERROR(INDEX('3_Master_Benchmark'!$P$5:$P$46,MATCH($B14,'3_Master_Benchmark'!$C$5:$C$46,0)),"")</f>
        <v>5000000</v>
      </c>
      <c r="F14" s="47" t="str">
        <f t="array" ref="F14">IFERROR(INDEX(#REF!,MATCH($B14,'3_Master_Benchmark'!$C$5:$C$46,0)),"")</f>
        <v/>
      </c>
      <c r="G14" s="48" t="str">
        <f t="array" ref="G14">IFERROR(INDEX(#REF!,MATCH($B14,'3_Master_Benchmark'!$C$5:$C$46,0)),"")</f>
        <v/>
      </c>
    </row>
    <row r="16">
      <c r="A16" s="1" t="s">
        <v>203</v>
      </c>
    </row>
    <row r="17">
      <c r="A17" s="4" t="s">
        <v>204</v>
      </c>
      <c r="B17" s="4" t="s">
        <v>205</v>
      </c>
    </row>
    <row r="18">
      <c r="A18" s="7" t="s">
        <v>206</v>
      </c>
      <c r="B18" s="56">
        <f>COUNTA('3_Master_Benchmark'!$B$5:$B$46)</f>
        <v>42</v>
      </c>
    </row>
    <row r="19">
      <c r="A19" s="7" t="s">
        <v>210</v>
      </c>
      <c r="B19" s="56">
        <f>COUNTIFS('3_Master_Benchmark'!$B$5:$B$46,"Haier")</f>
        <v>9</v>
      </c>
    </row>
    <row r="20">
      <c r="A20" s="7" t="s">
        <v>212</v>
      </c>
      <c r="B20" s="40" t="str">
        <f>IFERROR(AVERAGEIFS(#REF!,'3_Master_Benchmark'!$B$5:$B$46,"Haier",'3_Master_Benchmark'!$E$5:$E$46,"Multi-Door (4 Pintu)"),"")</f>
        <v/>
      </c>
    </row>
    <row r="21" ht="15.75" customHeight="1">
      <c r="A21" s="7" t="s">
        <v>214</v>
      </c>
      <c r="B21" s="40" t="str">
        <f>IFERROR(AVERAGEIFS(#REF!,'3_Master_Benchmark'!$B$5:$B$46,"Sharp",'3_Master_Benchmark'!$E$5:$E$46,"Multi-Door (4 Pintu)"),"")</f>
        <v/>
      </c>
    </row>
    <row r="22" ht="15.75" customHeight="1">
      <c r="A22" s="7" t="s">
        <v>216</v>
      </c>
      <c r="B22" s="57" t="str">
        <f>IFERROR(AVERAGEIFS(#REF!,'3_Master_Benchmark'!$B$5:$B$46,"Haier",'3_Master_Benchmark'!$E$5:$E$46,"Multi-Door (4 Pintu)")/AVERAGEIFS(#REF!,'3_Master_Benchmark'!$B$5:$B$46,"Sharp",'3_Master_Benchmark'!$E$5:$E$46,"Multi-Door (4 Pintu)")-1,"")</f>
        <v/>
      </c>
    </row>
    <row r="23" ht="15.75" customHeight="1">
      <c r="A23" s="7" t="s">
        <v>220</v>
      </c>
      <c r="B23" s="40" t="str">
        <f t="array" ref="B23">IFERROR(INDEX(#REF!,MATCH("HRF-CTD779RAA(BK)",'3_Master_Benchmark'!$C$5:$C$46,0)),"")</f>
        <v/>
      </c>
    </row>
    <row r="24" ht="15.75" customHeight="1">
      <c r="A24" s="7" t="s">
        <v>223</v>
      </c>
      <c r="B24" s="40" t="str">
        <f>'6_Referensi'!$B$22</f>
        <v/>
      </c>
    </row>
    <row r="25" ht="15.75" customHeight="1">
      <c r="A25" s="7" t="s">
        <v>224</v>
      </c>
      <c r="B25" s="57" t="str">
        <f t="array" ref="B25">IFERROR(INDEX(#REF!,MATCH("HRF-CTD779RAA(BK)",'3_Master_Benchmark'!$C$5:$C$46,0))/'6_Referensi'!$B$22-1,"")</f>
        <v/>
      </c>
    </row>
    <row r="26" ht="15.75" customHeight="1">
      <c r="A26" s="7" t="s">
        <v>228</v>
      </c>
      <c r="B26" s="40">
        <f>IFERROR(MAXIFS('3_Master_Benchmark'!$P$5:$P$46,'3_Master_Benchmark'!$B$5:$B$46,"Haier"),"")</f>
        <v>0</v>
      </c>
    </row>
    <row r="27" ht="15.75" customHeight="1">
      <c r="A27" s="7" t="s">
        <v>230</v>
      </c>
      <c r="B27" s="40">
        <f>IFERROR(MINIFS('3_Master_Benchmark'!$P$5:$P$46,'3_Master_Benchmark'!$B$5:$B$46,"Haier"),"")</f>
        <v>0</v>
      </c>
    </row>
    <row r="28" ht="15.75" customHeight="1">
      <c r="A28" s="7" t="s">
        <v>232</v>
      </c>
      <c r="B28" s="56">
        <f>COUNTIFS(#REF!,"Terverifikasi")</f>
        <v>0</v>
      </c>
    </row>
    <row r="29" ht="15.75" customHeight="1">
      <c r="A29" s="7" t="s">
        <v>234</v>
      </c>
      <c r="B29" s="56">
        <f>COUNTIFS(#REF!,"Belum ada data")</f>
        <v>0</v>
      </c>
    </row>
    <row r="30" ht="43.5" customHeight="1">
      <c r="A30" s="58" t="s">
        <v>237</v>
      </c>
      <c r="B30" s="11"/>
      <c r="C30" s="11"/>
      <c r="D30" s="11"/>
      <c r="E30" s="11"/>
      <c r="F30" s="11"/>
      <c r="G30" s="13"/>
    </row>
    <row r="31" ht="15.75" customHeight="1"/>
    <row r="32" ht="15.75" customHeight="1">
      <c r="A32" s="1" t="s">
        <v>238</v>
      </c>
    </row>
    <row r="33" ht="15.0" customHeight="1">
      <c r="A33" s="4" t="s">
        <v>239</v>
      </c>
      <c r="B33" s="18" t="s">
        <v>240</v>
      </c>
      <c r="C33" s="11"/>
      <c r="D33" s="13"/>
      <c r="E33" s="18" t="s">
        <v>243</v>
      </c>
      <c r="F33" s="11"/>
      <c r="G33" s="13"/>
    </row>
    <row r="34" ht="57.75" customHeight="1">
      <c r="A34" s="59" t="s">
        <v>245</v>
      </c>
      <c r="B34" s="60" t="s">
        <v>247</v>
      </c>
      <c r="C34" s="11"/>
      <c r="D34" s="13"/>
      <c r="E34" s="61" t="s">
        <v>250</v>
      </c>
      <c r="F34" s="11"/>
      <c r="G34" s="13"/>
    </row>
    <row r="35" ht="57.75" customHeight="1">
      <c r="A35" s="59" t="s">
        <v>253</v>
      </c>
      <c r="B35" s="60" t="s">
        <v>254</v>
      </c>
      <c r="C35" s="11"/>
      <c r="D35" s="13"/>
      <c r="E35" s="61" t="s">
        <v>255</v>
      </c>
      <c r="F35" s="11"/>
      <c r="G35" s="13"/>
    </row>
    <row r="36" ht="57.75" customHeight="1">
      <c r="A36" s="59" t="s">
        <v>258</v>
      </c>
      <c r="B36" s="60" t="s">
        <v>259</v>
      </c>
      <c r="C36" s="11"/>
      <c r="D36" s="13"/>
      <c r="E36" s="61" t="s">
        <v>260</v>
      </c>
      <c r="F36" s="11"/>
      <c r="G36" s="13"/>
    </row>
    <row r="37" ht="15.75" customHeight="1"/>
    <row r="38" ht="15.75" customHeight="1">
      <c r="A38" s="1" t="s">
        <v>262</v>
      </c>
    </row>
    <row r="39" ht="15.75" customHeight="1">
      <c r="A39" s="62" t="s">
        <v>263</v>
      </c>
      <c r="B39" s="11"/>
      <c r="C39" s="11"/>
      <c r="D39" s="11"/>
      <c r="E39" s="11"/>
      <c r="F39" s="11"/>
      <c r="G39" s="13"/>
    </row>
    <row r="40" ht="15.75" customHeight="1">
      <c r="A40" s="62" t="s">
        <v>264</v>
      </c>
      <c r="B40" s="11"/>
      <c r="C40" s="11"/>
      <c r="D40" s="11"/>
      <c r="E40" s="11"/>
      <c r="F40" s="11"/>
      <c r="G40" s="13"/>
    </row>
    <row r="41" ht="15.75" customHeight="1">
      <c r="A41" s="62" t="s">
        <v>268</v>
      </c>
      <c r="B41" s="11"/>
      <c r="C41" s="11"/>
      <c r="D41" s="11"/>
      <c r="E41" s="11"/>
      <c r="F41" s="11"/>
      <c r="G41" s="13"/>
    </row>
    <row r="42" ht="15.75" customHeight="1">
      <c r="A42" s="62" t="s">
        <v>270</v>
      </c>
      <c r="B42" s="11"/>
      <c r="C42" s="11"/>
      <c r="D42" s="11"/>
      <c r="E42" s="11"/>
      <c r="F42" s="11"/>
      <c r="G42" s="1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2:G2"/>
    <mergeCell ref="A5:G5"/>
    <mergeCell ref="A30:G30"/>
    <mergeCell ref="B33:D33"/>
    <mergeCell ref="E33:G33"/>
    <mergeCell ref="E34:G34"/>
    <mergeCell ref="A41:G41"/>
    <mergeCell ref="A42:G42"/>
    <mergeCell ref="B34:D34"/>
    <mergeCell ref="B35:D35"/>
    <mergeCell ref="E35:G35"/>
    <mergeCell ref="B36:D36"/>
    <mergeCell ref="E36:G36"/>
    <mergeCell ref="A39:G39"/>
    <mergeCell ref="A40:G40"/>
  </mergeCells>
  <conditionalFormatting sqref="F7:F14">
    <cfRule type="colorScale" priority="1">
      <colorScale>
        <cfvo type="min" val="0"/>
        <cfvo type="max" val="0"/>
        <color rgb="FFC6EFCE"/>
        <color rgb="FFF8CBAD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>
      <c r="A1" s="1" t="s">
        <v>0</v>
      </c>
    </row>
    <row r="3">
      <c r="A3" s="4" t="s">
        <v>3</v>
      </c>
      <c r="B3" s="4" t="s">
        <v>5</v>
      </c>
      <c r="C3" s="4" t="s">
        <v>7</v>
      </c>
      <c r="D3" s="4" t="s">
        <v>8</v>
      </c>
      <c r="E3" s="4" t="s">
        <v>10</v>
      </c>
      <c r="F3" s="4" t="s">
        <v>12</v>
      </c>
    </row>
    <row r="4">
      <c r="A4" s="8" t="s">
        <v>15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25</v>
      </c>
    </row>
    <row r="5">
      <c r="A5" s="8" t="s">
        <v>26</v>
      </c>
      <c r="B5" s="8" t="s">
        <v>28</v>
      </c>
      <c r="C5" s="8" t="s">
        <v>29</v>
      </c>
      <c r="D5" s="8" t="s">
        <v>31</v>
      </c>
      <c r="E5" s="8" t="s">
        <v>33</v>
      </c>
      <c r="F5" s="8" t="s">
        <v>35</v>
      </c>
    </row>
    <row r="6">
      <c r="A6" s="8" t="s">
        <v>37</v>
      </c>
      <c r="B6" s="8" t="s">
        <v>41</v>
      </c>
      <c r="E6" s="8" t="s">
        <v>43</v>
      </c>
      <c r="F6" s="8" t="s">
        <v>44</v>
      </c>
    </row>
    <row r="7">
      <c r="A7" s="8" t="s">
        <v>47</v>
      </c>
      <c r="B7" s="8" t="s">
        <v>48</v>
      </c>
      <c r="E7" s="8" t="s">
        <v>50</v>
      </c>
    </row>
    <row r="8">
      <c r="A8" s="8" t="s">
        <v>51</v>
      </c>
      <c r="B8" s="8" t="s">
        <v>53</v>
      </c>
      <c r="E8" s="8" t="s">
        <v>54</v>
      </c>
    </row>
    <row r="9">
      <c r="B9" s="8" t="s">
        <v>56</v>
      </c>
      <c r="E9" s="8" t="s">
        <v>58</v>
      </c>
    </row>
    <row r="10">
      <c r="B10" s="8" t="s">
        <v>60</v>
      </c>
      <c r="E10" s="8" t="s">
        <v>63</v>
      </c>
    </row>
    <row r="11">
      <c r="B11" s="8" t="s">
        <v>66</v>
      </c>
      <c r="E11" s="8" t="s">
        <v>69</v>
      </c>
    </row>
    <row r="12">
      <c r="B12" s="8" t="s">
        <v>72</v>
      </c>
      <c r="E12" s="8" t="s">
        <v>74</v>
      </c>
    </row>
    <row r="13">
      <c r="B13" s="8" t="s">
        <v>76</v>
      </c>
      <c r="E13" s="8" t="s">
        <v>78</v>
      </c>
    </row>
    <row r="14">
      <c r="B14" s="8" t="s">
        <v>80</v>
      </c>
      <c r="E14" s="8" t="s">
        <v>82</v>
      </c>
    </row>
    <row r="15">
      <c r="B15" s="8" t="s">
        <v>83</v>
      </c>
      <c r="E15" s="8" t="s">
        <v>84</v>
      </c>
    </row>
    <row r="16">
      <c r="B16" s="8" t="s">
        <v>85</v>
      </c>
    </row>
    <row r="20">
      <c r="A20" s="24" t="s">
        <v>88</v>
      </c>
    </row>
    <row r="21" ht="15.75" customHeight="1">
      <c r="A21" s="7" t="s">
        <v>89</v>
      </c>
      <c r="B21" s="27" t="s">
        <v>90</v>
      </c>
    </row>
    <row r="22" ht="15.75" customHeight="1">
      <c r="A22" s="7" t="s">
        <v>93</v>
      </c>
      <c r="B22" s="33" t="str">
        <f t="array" ref="B22">IFERROR(INDEX(#REF!,MATCH($B$21,'3_Master_Benchmark'!$C:$C,0)),"")</f>
        <v/>
      </c>
    </row>
    <row r="23" ht="15.75" customHeight="1">
      <c r="A23" s="6" t="s">
        <v>104</v>
      </c>
      <c r="B23" s="6" t="s">
        <v>105</v>
      </c>
    </row>
    <row r="24" ht="15.75" customHeight="1"/>
    <row r="25" ht="15.75" customHeight="1"/>
    <row r="26" ht="15.75" customHeight="1">
      <c r="A26" s="24" t="s">
        <v>106</v>
      </c>
    </row>
    <row r="27" ht="15.75" customHeight="1">
      <c r="A27" s="4" t="s">
        <v>108</v>
      </c>
      <c r="B27" s="4" t="s">
        <v>110</v>
      </c>
    </row>
    <row r="28" ht="15.75" customHeight="1">
      <c r="A28" s="8" t="s">
        <v>111</v>
      </c>
      <c r="B28" s="8" t="s">
        <v>113</v>
      </c>
    </row>
    <row r="29" ht="15.75" customHeight="1">
      <c r="A29" s="8" t="s">
        <v>111</v>
      </c>
      <c r="B29" s="8" t="s">
        <v>115</v>
      </c>
    </row>
    <row r="30" ht="15.75" customHeight="1">
      <c r="A30" s="8" t="s">
        <v>117</v>
      </c>
      <c r="B30" s="8" t="s">
        <v>120</v>
      </c>
    </row>
    <row r="31" ht="15.75" customHeight="1">
      <c r="A31" s="8" t="s">
        <v>117</v>
      </c>
      <c r="B31" s="8" t="s">
        <v>122</v>
      </c>
    </row>
    <row r="32" ht="15.75" customHeight="1">
      <c r="A32" s="8" t="s">
        <v>123</v>
      </c>
      <c r="B32" s="8" t="s">
        <v>125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4.0"/>
    <col customWidth="1" min="4" max="4" width="18.0"/>
    <col customWidth="1" min="5" max="5" width="20.0"/>
    <col customWidth="1" min="6" max="6" width="18.14"/>
    <col customWidth="1" min="7" max="7" width="12.0"/>
    <col customWidth="1" min="8" max="8" width="16.71"/>
    <col customWidth="1" min="9" max="9" width="34.0"/>
    <col customWidth="1" min="10" max="10" width="32.0"/>
    <col customWidth="1" min="11" max="11" width="22.43"/>
    <col customWidth="1" hidden="1" min="12" max="12" width="16.0"/>
    <col customWidth="1" hidden="1" min="13" max="13" width="20.71"/>
    <col customWidth="1" hidden="1" min="14" max="14" width="22.86"/>
    <col customWidth="1" hidden="1" min="15" max="15" width="16.0"/>
    <col customWidth="1" min="16" max="16" width="16.0"/>
    <col customWidth="1" min="17" max="17" width="13.0"/>
    <col customWidth="1" min="18" max="18" width="44.0"/>
  </cols>
  <sheetData>
    <row r="1" ht="25.5" customHeight="1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5"/>
    </row>
    <row r="2">
      <c r="A2" s="9" t="s">
        <v>16</v>
      </c>
    </row>
    <row r="3">
      <c r="B3" s="12"/>
      <c r="C3" s="12"/>
      <c r="D3" s="12"/>
      <c r="E3" s="12"/>
      <c r="I3" s="14"/>
      <c r="J3" s="14"/>
      <c r="K3" s="15"/>
      <c r="P3" s="15"/>
      <c r="R3" s="16"/>
    </row>
    <row r="4" ht="45.75" customHeight="1">
      <c r="A4" s="4" t="s">
        <v>39</v>
      </c>
      <c r="B4" s="4" t="s">
        <v>10</v>
      </c>
      <c r="C4" s="4" t="s">
        <v>24</v>
      </c>
      <c r="D4" s="17" t="s">
        <v>45</v>
      </c>
      <c r="E4" s="4" t="s">
        <v>3</v>
      </c>
      <c r="F4" s="4" t="s">
        <v>30</v>
      </c>
      <c r="G4" s="4" t="s">
        <v>7</v>
      </c>
      <c r="H4" s="4" t="s">
        <v>8</v>
      </c>
      <c r="I4" s="4" t="s">
        <v>57</v>
      </c>
      <c r="J4" s="17" t="s">
        <v>59</v>
      </c>
      <c r="K4" s="4" t="s">
        <v>61</v>
      </c>
      <c r="L4" s="4" t="s">
        <v>64</v>
      </c>
      <c r="M4" s="4" t="s">
        <v>67</v>
      </c>
      <c r="N4" s="4" t="s">
        <v>70</v>
      </c>
      <c r="O4" s="4" t="s">
        <v>73</v>
      </c>
      <c r="P4" s="4" t="s">
        <v>75</v>
      </c>
      <c r="Q4" s="4" t="s">
        <v>77</v>
      </c>
      <c r="R4" s="4" t="s">
        <v>79</v>
      </c>
    </row>
    <row r="5">
      <c r="A5" s="22">
        <v>1.0</v>
      </c>
      <c r="B5" s="29" t="s">
        <v>23</v>
      </c>
      <c r="C5" s="32" t="s">
        <v>86</v>
      </c>
      <c r="D5" s="32" t="s">
        <v>100</v>
      </c>
      <c r="E5" s="32" t="s">
        <v>47</v>
      </c>
      <c r="F5" s="31">
        <v>650.0</v>
      </c>
      <c r="G5" s="35" t="s">
        <v>29</v>
      </c>
      <c r="H5" s="22" t="s">
        <v>22</v>
      </c>
      <c r="I5" s="22" t="s">
        <v>116</v>
      </c>
      <c r="J5" s="22" t="s">
        <v>118</v>
      </c>
      <c r="K5" s="37">
        <v>3.4999E7</v>
      </c>
      <c r="L5" s="38"/>
      <c r="M5" s="38"/>
      <c r="N5" s="38"/>
      <c r="O5" s="38"/>
      <c r="P5" s="40"/>
      <c r="Q5" s="22" t="s">
        <v>129</v>
      </c>
      <c r="R5" s="41" t="s">
        <v>130</v>
      </c>
    </row>
    <row r="6">
      <c r="A6" s="22">
        <v>2.0</v>
      </c>
      <c r="B6" s="29" t="s">
        <v>23</v>
      </c>
      <c r="C6" s="32" t="s">
        <v>135</v>
      </c>
      <c r="D6" s="32" t="s">
        <v>100</v>
      </c>
      <c r="E6" s="32" t="s">
        <v>47</v>
      </c>
      <c r="F6" s="31">
        <v>700.0</v>
      </c>
      <c r="G6" s="35" t="s">
        <v>29</v>
      </c>
      <c r="H6" s="22" t="s">
        <v>22</v>
      </c>
      <c r="I6" s="22" t="s">
        <v>140</v>
      </c>
      <c r="J6" s="22" t="s">
        <v>141</v>
      </c>
      <c r="K6" s="37">
        <v>2.1999E7</v>
      </c>
      <c r="L6" s="38"/>
      <c r="M6" s="38"/>
      <c r="N6" s="38"/>
      <c r="O6" s="38"/>
      <c r="P6" s="40"/>
      <c r="Q6" s="22" t="s">
        <v>129</v>
      </c>
      <c r="R6" s="41" t="s">
        <v>130</v>
      </c>
    </row>
    <row r="7">
      <c r="A7" s="22">
        <v>3.0</v>
      </c>
      <c r="B7" s="29" t="s">
        <v>23</v>
      </c>
      <c r="C7" s="32" t="s">
        <v>142</v>
      </c>
      <c r="D7" s="32" t="s">
        <v>100</v>
      </c>
      <c r="E7" s="32" t="s">
        <v>47</v>
      </c>
      <c r="F7" s="31">
        <v>700.0</v>
      </c>
      <c r="G7" s="35" t="s">
        <v>29</v>
      </c>
      <c r="H7" s="22" t="s">
        <v>22</v>
      </c>
      <c r="I7" s="22" t="s">
        <v>143</v>
      </c>
      <c r="J7" s="22" t="s">
        <v>144</v>
      </c>
      <c r="K7" s="37">
        <v>1.7999E7</v>
      </c>
      <c r="L7" s="38"/>
      <c r="M7" s="38"/>
      <c r="N7" s="38"/>
      <c r="O7" s="38"/>
      <c r="P7" s="40"/>
      <c r="Q7" s="22" t="s">
        <v>129</v>
      </c>
      <c r="R7" s="41" t="s">
        <v>130</v>
      </c>
    </row>
    <row r="8">
      <c r="A8" s="22">
        <v>4.0</v>
      </c>
      <c r="B8" s="29" t="s">
        <v>23</v>
      </c>
      <c r="C8" s="32" t="s">
        <v>145</v>
      </c>
      <c r="D8" s="32" t="s">
        <v>146</v>
      </c>
      <c r="E8" s="32" t="s">
        <v>51</v>
      </c>
      <c r="F8" s="31">
        <v>512.0</v>
      </c>
      <c r="G8" s="35" t="s">
        <v>29</v>
      </c>
      <c r="H8" s="22" t="s">
        <v>22</v>
      </c>
      <c r="I8" s="22" t="s">
        <v>147</v>
      </c>
      <c r="J8" s="22" t="s">
        <v>148</v>
      </c>
      <c r="K8" s="37">
        <v>2.0999E7</v>
      </c>
      <c r="L8" s="38"/>
      <c r="M8" s="38"/>
      <c r="N8" s="38"/>
      <c r="O8" s="38"/>
      <c r="P8" s="40"/>
      <c r="Q8" s="22" t="s">
        <v>129</v>
      </c>
      <c r="R8" s="41" t="s">
        <v>130</v>
      </c>
    </row>
    <row r="9">
      <c r="A9" s="22">
        <v>5.0</v>
      </c>
      <c r="B9" s="29" t="s">
        <v>23</v>
      </c>
      <c r="C9" s="32" t="s">
        <v>149</v>
      </c>
      <c r="D9" s="32" t="s">
        <v>146</v>
      </c>
      <c r="E9" s="32" t="s">
        <v>47</v>
      </c>
      <c r="F9" s="31">
        <v>508.0</v>
      </c>
      <c r="G9" s="35" t="s">
        <v>29</v>
      </c>
      <c r="H9" s="22" t="s">
        <v>22</v>
      </c>
      <c r="I9" s="22" t="s">
        <v>150</v>
      </c>
      <c r="J9" s="22" t="s">
        <v>151</v>
      </c>
      <c r="K9" s="37">
        <v>1.8999E7</v>
      </c>
      <c r="L9" s="38"/>
      <c r="M9" s="38"/>
      <c r="N9" s="38"/>
      <c r="O9" s="38"/>
      <c r="P9" s="40"/>
      <c r="Q9" s="22" t="s">
        <v>129</v>
      </c>
      <c r="R9" s="41" t="s">
        <v>130</v>
      </c>
    </row>
    <row r="10">
      <c r="A10" s="22">
        <v>6.0</v>
      </c>
      <c r="B10" s="29" t="s">
        <v>23</v>
      </c>
      <c r="C10" s="32" t="s">
        <v>152</v>
      </c>
      <c r="D10" s="32" t="s">
        <v>153</v>
      </c>
      <c r="E10" s="32" t="s">
        <v>47</v>
      </c>
      <c r="F10" s="31">
        <v>550.0</v>
      </c>
      <c r="G10" s="43" t="s">
        <v>21</v>
      </c>
      <c r="H10" s="22" t="s">
        <v>22</v>
      </c>
      <c r="I10" s="22" t="s">
        <v>155</v>
      </c>
      <c r="J10" s="22" t="s">
        <v>156</v>
      </c>
      <c r="K10" s="37">
        <v>1.6999E7</v>
      </c>
      <c r="L10" s="38"/>
      <c r="M10" s="38"/>
      <c r="N10" s="38"/>
      <c r="O10" s="38"/>
      <c r="P10" s="40"/>
      <c r="Q10" s="22" t="s">
        <v>129</v>
      </c>
      <c r="R10" s="41" t="s">
        <v>130</v>
      </c>
    </row>
    <row r="11">
      <c r="A11" s="22">
        <v>7.0</v>
      </c>
      <c r="B11" s="29" t="s">
        <v>23</v>
      </c>
      <c r="C11" s="32" t="s">
        <v>157</v>
      </c>
      <c r="D11" s="32" t="s">
        <v>153</v>
      </c>
      <c r="E11" s="32" t="s">
        <v>47</v>
      </c>
      <c r="F11" s="31">
        <v>550.0</v>
      </c>
      <c r="G11" s="35" t="s">
        <v>29</v>
      </c>
      <c r="H11" s="22" t="s">
        <v>22</v>
      </c>
      <c r="I11" s="22" t="s">
        <v>158</v>
      </c>
      <c r="J11" s="22" t="s">
        <v>156</v>
      </c>
      <c r="K11" s="37"/>
      <c r="L11" s="38"/>
      <c r="M11" s="38"/>
      <c r="N11" s="38"/>
      <c r="O11" s="38"/>
      <c r="P11" s="40"/>
      <c r="Q11" s="22" t="s">
        <v>129</v>
      </c>
      <c r="R11" s="41" t="s">
        <v>159</v>
      </c>
    </row>
    <row r="12">
      <c r="A12" s="22">
        <v>8.0</v>
      </c>
      <c r="B12" s="29" t="s">
        <v>23</v>
      </c>
      <c r="C12" s="32" t="s">
        <v>160</v>
      </c>
      <c r="D12" s="32" t="s">
        <v>153</v>
      </c>
      <c r="E12" s="32" t="s">
        <v>47</v>
      </c>
      <c r="F12" s="31">
        <v>500.0</v>
      </c>
      <c r="G12" s="35" t="s">
        <v>29</v>
      </c>
      <c r="H12" s="22" t="s">
        <v>22</v>
      </c>
      <c r="I12" s="22" t="s">
        <v>161</v>
      </c>
      <c r="J12" s="22" t="s">
        <v>162</v>
      </c>
      <c r="K12" s="37">
        <v>1.2999E7</v>
      </c>
      <c r="L12" s="38"/>
      <c r="M12" s="38"/>
      <c r="N12" s="38"/>
      <c r="O12" s="38"/>
      <c r="P12" s="40"/>
      <c r="Q12" s="22" t="s">
        <v>129</v>
      </c>
      <c r="R12" s="41" t="s">
        <v>130</v>
      </c>
    </row>
    <row r="13">
      <c r="A13" s="22">
        <v>9.0</v>
      </c>
      <c r="B13" s="29" t="s">
        <v>23</v>
      </c>
      <c r="C13" s="32" t="s">
        <v>154</v>
      </c>
      <c r="D13" s="32" t="s">
        <v>153</v>
      </c>
      <c r="E13" s="32" t="s">
        <v>47</v>
      </c>
      <c r="F13" s="31">
        <v>502.0</v>
      </c>
      <c r="G13" s="35" t="s">
        <v>29</v>
      </c>
      <c r="H13" s="22" t="s">
        <v>22</v>
      </c>
      <c r="I13" s="22" t="s">
        <v>163</v>
      </c>
      <c r="J13" s="22" t="s">
        <v>164</v>
      </c>
      <c r="K13" s="37">
        <v>8999000.0</v>
      </c>
      <c r="L13" s="38"/>
      <c r="M13" s="38"/>
      <c r="N13" s="38"/>
      <c r="O13" s="38"/>
      <c r="P13" s="40"/>
      <c r="Q13" s="22" t="s">
        <v>129</v>
      </c>
      <c r="R13" s="41" t="s">
        <v>166</v>
      </c>
    </row>
    <row r="14">
      <c r="A14" s="22">
        <v>10.0</v>
      </c>
      <c r="B14" s="29" t="s">
        <v>33</v>
      </c>
      <c r="C14" s="32"/>
      <c r="D14" s="32"/>
      <c r="E14" s="32" t="s">
        <v>47</v>
      </c>
      <c r="F14" s="37"/>
      <c r="G14" s="49"/>
      <c r="H14" s="22" t="s">
        <v>22</v>
      </c>
      <c r="I14" s="22" t="s">
        <v>171</v>
      </c>
      <c r="J14" s="22" t="s">
        <v>173</v>
      </c>
      <c r="K14" s="37"/>
      <c r="L14" s="38"/>
      <c r="M14" s="38"/>
      <c r="N14" s="38"/>
      <c r="O14" s="38"/>
      <c r="P14" s="40" t="str">
        <f t="shared" ref="P14:P46" si="1">IFERROR(AVERAGE($K14:$O14),"")</f>
        <v/>
      </c>
      <c r="Q14" s="22" t="s">
        <v>129</v>
      </c>
      <c r="R14" s="41" t="s">
        <v>182</v>
      </c>
    </row>
    <row r="15">
      <c r="A15" s="22">
        <v>11.0</v>
      </c>
      <c r="B15" s="29" t="s">
        <v>33</v>
      </c>
      <c r="C15" s="32" t="s">
        <v>184</v>
      </c>
      <c r="D15" s="32" t="s">
        <v>185</v>
      </c>
      <c r="E15" s="32" t="s">
        <v>26</v>
      </c>
      <c r="F15" s="37"/>
      <c r="G15" s="49"/>
      <c r="H15" s="22" t="s">
        <v>22</v>
      </c>
      <c r="I15" s="22" t="s">
        <v>171</v>
      </c>
      <c r="J15" s="22" t="s">
        <v>173</v>
      </c>
      <c r="K15" s="37"/>
      <c r="L15" s="38"/>
      <c r="M15" s="38"/>
      <c r="N15" s="38"/>
      <c r="O15" s="38"/>
      <c r="P15" s="40" t="str">
        <f t="shared" si="1"/>
        <v/>
      </c>
      <c r="Q15" s="22" t="s">
        <v>129</v>
      </c>
      <c r="R15" s="41" t="s">
        <v>186</v>
      </c>
    </row>
    <row r="16">
      <c r="A16" s="44">
        <v>12.0</v>
      </c>
      <c r="B16" s="52" t="s">
        <v>43</v>
      </c>
      <c r="C16" s="53" t="s">
        <v>90</v>
      </c>
      <c r="D16" s="53"/>
      <c r="E16" s="53" t="s">
        <v>47</v>
      </c>
      <c r="F16" s="45">
        <v>639.0</v>
      </c>
      <c r="G16" s="44" t="s">
        <v>29</v>
      </c>
      <c r="H16" s="44" t="s">
        <v>22</v>
      </c>
      <c r="I16" s="44" t="s">
        <v>188</v>
      </c>
      <c r="J16" s="44" t="s">
        <v>189</v>
      </c>
      <c r="K16" s="37"/>
      <c r="L16" s="38"/>
      <c r="M16" s="38"/>
      <c r="N16" s="38"/>
      <c r="O16" s="38">
        <v>1.8599E7</v>
      </c>
      <c r="P16" s="40">
        <f t="shared" si="1"/>
        <v>18599000</v>
      </c>
      <c r="Q16" s="44" t="s">
        <v>129</v>
      </c>
      <c r="R16" s="54" t="s">
        <v>190</v>
      </c>
    </row>
    <row r="17">
      <c r="A17" s="44">
        <v>13.0</v>
      </c>
      <c r="B17" s="52" t="s">
        <v>43</v>
      </c>
      <c r="C17" s="53" t="s">
        <v>191</v>
      </c>
      <c r="D17" s="53"/>
      <c r="E17" s="53" t="s">
        <v>47</v>
      </c>
      <c r="F17" s="45">
        <v>472.0</v>
      </c>
      <c r="G17" s="44" t="s">
        <v>29</v>
      </c>
      <c r="H17" s="44" t="s">
        <v>22</v>
      </c>
      <c r="I17" s="44" t="s">
        <v>192</v>
      </c>
      <c r="J17" s="44" t="s">
        <v>193</v>
      </c>
      <c r="K17" s="37"/>
      <c r="L17" s="38"/>
      <c r="M17" s="38"/>
      <c r="N17" s="38"/>
      <c r="O17" s="38">
        <v>1.0399E7</v>
      </c>
      <c r="P17" s="40">
        <f t="shared" si="1"/>
        <v>10399000</v>
      </c>
      <c r="Q17" s="44" t="s">
        <v>129</v>
      </c>
      <c r="R17" s="54" t="s">
        <v>194</v>
      </c>
    </row>
    <row r="18">
      <c r="A18" s="44">
        <v>14.0</v>
      </c>
      <c r="B18" s="52" t="s">
        <v>43</v>
      </c>
      <c r="C18" s="53" t="s">
        <v>196</v>
      </c>
      <c r="D18" s="53"/>
      <c r="E18" s="53" t="s">
        <v>47</v>
      </c>
      <c r="F18" s="45">
        <v>472.0</v>
      </c>
      <c r="G18" s="44" t="s">
        <v>29</v>
      </c>
      <c r="H18" s="44" t="s">
        <v>22</v>
      </c>
      <c r="I18" s="44" t="s">
        <v>197</v>
      </c>
      <c r="J18" s="44" t="s">
        <v>198</v>
      </c>
      <c r="K18" s="37"/>
      <c r="L18" s="38"/>
      <c r="M18" s="38"/>
      <c r="N18" s="38"/>
      <c r="O18" s="38">
        <v>9569000.0</v>
      </c>
      <c r="P18" s="40">
        <f t="shared" si="1"/>
        <v>9569000</v>
      </c>
      <c r="Q18" s="44" t="s">
        <v>129</v>
      </c>
      <c r="R18" s="54" t="s">
        <v>199</v>
      </c>
    </row>
    <row r="19">
      <c r="A19" s="44">
        <v>15.0</v>
      </c>
      <c r="B19" s="52" t="s">
        <v>43</v>
      </c>
      <c r="C19" s="53" t="s">
        <v>200</v>
      </c>
      <c r="D19" s="53"/>
      <c r="E19" s="53" t="s">
        <v>37</v>
      </c>
      <c r="F19" s="37"/>
      <c r="G19" s="55" t="s">
        <v>29</v>
      </c>
      <c r="H19" s="44" t="s">
        <v>22</v>
      </c>
      <c r="I19" s="44" t="s">
        <v>201</v>
      </c>
      <c r="J19" s="44" t="s">
        <v>202</v>
      </c>
      <c r="K19" s="37"/>
      <c r="L19" s="38"/>
      <c r="M19" s="38"/>
      <c r="N19" s="38"/>
      <c r="O19" s="38">
        <v>1.5456122E7</v>
      </c>
      <c r="P19" s="40">
        <f t="shared" si="1"/>
        <v>15456122</v>
      </c>
      <c r="Q19" s="44" t="s">
        <v>129</v>
      </c>
      <c r="R19" s="54" t="s">
        <v>207</v>
      </c>
    </row>
    <row r="20">
      <c r="A20" s="44">
        <v>16.0</v>
      </c>
      <c r="B20" s="52" t="s">
        <v>43</v>
      </c>
      <c r="C20" s="53" t="s">
        <v>208</v>
      </c>
      <c r="D20" s="53"/>
      <c r="E20" s="53" t="s">
        <v>26</v>
      </c>
      <c r="F20" s="45">
        <v>656.0</v>
      </c>
      <c r="G20" s="44" t="s">
        <v>29</v>
      </c>
      <c r="H20" s="44" t="s">
        <v>22</v>
      </c>
      <c r="I20" s="44" t="s">
        <v>209</v>
      </c>
      <c r="J20" s="44" t="s">
        <v>211</v>
      </c>
      <c r="K20" s="37"/>
      <c r="L20" s="38"/>
      <c r="M20" s="38"/>
      <c r="N20" s="38"/>
      <c r="O20" s="38">
        <v>1.1090817E7</v>
      </c>
      <c r="P20" s="40">
        <f t="shared" si="1"/>
        <v>11090817</v>
      </c>
      <c r="Q20" s="44" t="s">
        <v>129</v>
      </c>
      <c r="R20" s="54" t="s">
        <v>199</v>
      </c>
    </row>
    <row r="21" ht="15.75" customHeight="1">
      <c r="A21" s="44">
        <v>17.0</v>
      </c>
      <c r="B21" s="52" t="s">
        <v>43</v>
      </c>
      <c r="C21" s="53" t="s">
        <v>213</v>
      </c>
      <c r="D21" s="53"/>
      <c r="E21" s="53" t="s">
        <v>26</v>
      </c>
      <c r="F21" s="45">
        <v>613.0</v>
      </c>
      <c r="G21" s="44" t="s">
        <v>29</v>
      </c>
      <c r="H21" s="44" t="s">
        <v>22</v>
      </c>
      <c r="I21" s="44" t="s">
        <v>209</v>
      </c>
      <c r="J21" s="44" t="s">
        <v>215</v>
      </c>
      <c r="K21" s="37"/>
      <c r="L21" s="38"/>
      <c r="M21" s="38"/>
      <c r="N21" s="38"/>
      <c r="O21" s="38">
        <v>1.0815306E7</v>
      </c>
      <c r="P21" s="40">
        <f t="shared" si="1"/>
        <v>10815306</v>
      </c>
      <c r="Q21" s="44" t="s">
        <v>129</v>
      </c>
      <c r="R21" s="54" t="s">
        <v>199</v>
      </c>
    </row>
    <row r="22" ht="15.75" customHeight="1">
      <c r="A22" s="44">
        <v>18.0</v>
      </c>
      <c r="B22" s="52" t="s">
        <v>43</v>
      </c>
      <c r="C22" s="53" t="s">
        <v>217</v>
      </c>
      <c r="D22" s="53"/>
      <c r="E22" s="53" t="s">
        <v>26</v>
      </c>
      <c r="F22" s="45">
        <v>656.0</v>
      </c>
      <c r="G22" s="44" t="s">
        <v>21</v>
      </c>
      <c r="H22" s="44" t="s">
        <v>22</v>
      </c>
      <c r="I22" s="44" t="s">
        <v>218</v>
      </c>
      <c r="J22" s="44" t="s">
        <v>219</v>
      </c>
      <c r="K22" s="37"/>
      <c r="L22" s="38"/>
      <c r="M22" s="38"/>
      <c r="N22" s="38"/>
      <c r="O22" s="38">
        <v>9998980.0</v>
      </c>
      <c r="P22" s="40">
        <f t="shared" si="1"/>
        <v>9998980</v>
      </c>
      <c r="Q22" s="44" t="s">
        <v>129</v>
      </c>
      <c r="R22" s="54" t="s">
        <v>221</v>
      </c>
    </row>
    <row r="23" ht="15.75" customHeight="1">
      <c r="A23" s="44">
        <v>19.0</v>
      </c>
      <c r="B23" s="52" t="s">
        <v>43</v>
      </c>
      <c r="C23" s="53" t="s">
        <v>222</v>
      </c>
      <c r="D23" s="53"/>
      <c r="E23" s="53" t="s">
        <v>26</v>
      </c>
      <c r="F23" s="37"/>
      <c r="G23" s="43" t="s">
        <v>29</v>
      </c>
      <c r="H23" s="44" t="s">
        <v>22</v>
      </c>
      <c r="I23" s="44" t="s">
        <v>225</v>
      </c>
      <c r="J23" s="44" t="s">
        <v>226</v>
      </c>
      <c r="K23" s="37"/>
      <c r="L23" s="38"/>
      <c r="M23" s="38"/>
      <c r="N23" s="38"/>
      <c r="O23" s="38">
        <v>5729000.0</v>
      </c>
      <c r="P23" s="40">
        <f t="shared" si="1"/>
        <v>5729000</v>
      </c>
      <c r="Q23" s="44" t="s">
        <v>129</v>
      </c>
      <c r="R23" s="54" t="s">
        <v>227</v>
      </c>
    </row>
    <row r="24" ht="15.75" customHeight="1">
      <c r="A24" s="44">
        <v>20.0</v>
      </c>
      <c r="B24" s="52" t="s">
        <v>43</v>
      </c>
      <c r="C24" s="53" t="s">
        <v>229</v>
      </c>
      <c r="D24" s="53"/>
      <c r="E24" s="53" t="s">
        <v>26</v>
      </c>
      <c r="F24" s="37"/>
      <c r="G24" s="43" t="s">
        <v>29</v>
      </c>
      <c r="H24" s="44" t="s">
        <v>22</v>
      </c>
      <c r="I24" s="44" t="s">
        <v>22</v>
      </c>
      <c r="J24" s="44" t="s">
        <v>231</v>
      </c>
      <c r="K24" s="37"/>
      <c r="L24" s="38"/>
      <c r="M24" s="38"/>
      <c r="N24" s="38"/>
      <c r="O24" s="38">
        <v>4866326.0</v>
      </c>
      <c r="P24" s="40">
        <f t="shared" si="1"/>
        <v>4866326</v>
      </c>
      <c r="Q24" s="44" t="s">
        <v>129</v>
      </c>
      <c r="R24" s="54" t="s">
        <v>227</v>
      </c>
    </row>
    <row r="25" ht="15.75" customHeight="1">
      <c r="A25" s="44">
        <v>21.0</v>
      </c>
      <c r="B25" s="52" t="s">
        <v>43</v>
      </c>
      <c r="C25" s="53" t="s">
        <v>233</v>
      </c>
      <c r="D25" s="53"/>
      <c r="E25" s="53" t="s">
        <v>26</v>
      </c>
      <c r="F25" s="45">
        <v>256.0</v>
      </c>
      <c r="G25" s="44" t="s">
        <v>21</v>
      </c>
      <c r="H25" s="44" t="s">
        <v>31</v>
      </c>
      <c r="I25" s="44" t="s">
        <v>235</v>
      </c>
      <c r="J25" s="44" t="s">
        <v>236</v>
      </c>
      <c r="K25" s="37"/>
      <c r="L25" s="38"/>
      <c r="M25" s="38"/>
      <c r="N25" s="38"/>
      <c r="O25" s="38">
        <v>3171430.0</v>
      </c>
      <c r="P25" s="40">
        <f t="shared" si="1"/>
        <v>3171430</v>
      </c>
      <c r="Q25" s="44" t="s">
        <v>129</v>
      </c>
      <c r="R25" s="54" t="s">
        <v>199</v>
      </c>
    </row>
    <row r="26" ht="15.75" customHeight="1">
      <c r="A26" s="44">
        <v>22.0</v>
      </c>
      <c r="B26" s="52" t="s">
        <v>50</v>
      </c>
      <c r="C26" s="53" t="s">
        <v>241</v>
      </c>
      <c r="D26" s="53" t="s">
        <v>242</v>
      </c>
      <c r="E26" s="53" t="s">
        <v>37</v>
      </c>
      <c r="F26" s="45">
        <v>674.0</v>
      </c>
      <c r="G26" s="44" t="s">
        <v>21</v>
      </c>
      <c r="H26" s="44" t="s">
        <v>22</v>
      </c>
      <c r="I26" s="44" t="s">
        <v>244</v>
      </c>
      <c r="J26" s="44" t="s">
        <v>246</v>
      </c>
      <c r="K26" s="37"/>
      <c r="L26" s="38"/>
      <c r="M26" s="38"/>
      <c r="N26" s="38"/>
      <c r="O26" s="38"/>
      <c r="P26" s="40" t="str">
        <f t="shared" si="1"/>
        <v/>
      </c>
      <c r="Q26" s="44" t="s">
        <v>129</v>
      </c>
      <c r="R26" s="54" t="s">
        <v>249</v>
      </c>
    </row>
    <row r="27" ht="15.75" customHeight="1">
      <c r="A27" s="44">
        <v>23.0</v>
      </c>
      <c r="B27" s="52" t="s">
        <v>50</v>
      </c>
      <c r="C27" s="53" t="s">
        <v>252</v>
      </c>
      <c r="D27" s="53"/>
      <c r="E27" s="53" t="s">
        <v>37</v>
      </c>
      <c r="F27" s="45">
        <v>674.0</v>
      </c>
      <c r="G27" s="35" t="s">
        <v>21</v>
      </c>
      <c r="H27" s="44" t="s">
        <v>22</v>
      </c>
      <c r="I27" s="44" t="s">
        <v>256</v>
      </c>
      <c r="J27" s="44" t="s">
        <v>257</v>
      </c>
      <c r="K27" s="37"/>
      <c r="L27" s="38"/>
      <c r="M27" s="38"/>
      <c r="N27" s="38"/>
      <c r="O27" s="38">
        <v>1.8233673E7</v>
      </c>
      <c r="P27" s="40">
        <f t="shared" si="1"/>
        <v>18233673</v>
      </c>
      <c r="Q27" s="44" t="s">
        <v>129</v>
      </c>
      <c r="R27" s="54" t="s">
        <v>261</v>
      </c>
    </row>
    <row r="28" ht="15.75" customHeight="1">
      <c r="A28" s="44">
        <v>24.0</v>
      </c>
      <c r="B28" s="52" t="s">
        <v>50</v>
      </c>
      <c r="C28" s="53" t="s">
        <v>176</v>
      </c>
      <c r="D28" s="53"/>
      <c r="E28" s="53" t="s">
        <v>37</v>
      </c>
      <c r="F28" s="45">
        <v>694.0</v>
      </c>
      <c r="G28" s="44" t="s">
        <v>21</v>
      </c>
      <c r="H28" s="44" t="s">
        <v>22</v>
      </c>
      <c r="I28" s="44" t="s">
        <v>265</v>
      </c>
      <c r="J28" s="44" t="s">
        <v>266</v>
      </c>
      <c r="K28" s="37"/>
      <c r="L28" s="38"/>
      <c r="M28" s="38"/>
      <c r="N28" s="38"/>
      <c r="O28" s="38">
        <v>1.2029E7</v>
      </c>
      <c r="P28" s="40">
        <f t="shared" si="1"/>
        <v>12029000</v>
      </c>
      <c r="Q28" s="44" t="s">
        <v>129</v>
      </c>
      <c r="R28" s="54" t="s">
        <v>273</v>
      </c>
    </row>
    <row r="29" ht="15.75" customHeight="1">
      <c r="A29" s="44">
        <v>25.0</v>
      </c>
      <c r="B29" s="52" t="s">
        <v>50</v>
      </c>
      <c r="C29" s="53" t="s">
        <v>274</v>
      </c>
      <c r="D29" s="53"/>
      <c r="E29" s="53" t="s">
        <v>47</v>
      </c>
      <c r="F29" s="45">
        <v>570.0</v>
      </c>
      <c r="G29" s="44" t="s">
        <v>21</v>
      </c>
      <c r="H29" s="44" t="s">
        <v>22</v>
      </c>
      <c r="I29" s="44" t="s">
        <v>256</v>
      </c>
      <c r="J29" s="44" t="s">
        <v>276</v>
      </c>
      <c r="K29" s="37"/>
      <c r="L29" s="38"/>
      <c r="M29" s="38"/>
      <c r="N29" s="38"/>
      <c r="O29" s="38"/>
      <c r="P29" s="40" t="str">
        <f t="shared" si="1"/>
        <v/>
      </c>
      <c r="Q29" s="44" t="s">
        <v>129</v>
      </c>
      <c r="R29" s="54" t="s">
        <v>277</v>
      </c>
    </row>
    <row r="30" ht="15.75" customHeight="1">
      <c r="A30" s="44">
        <v>26.0</v>
      </c>
      <c r="B30" s="52" t="s">
        <v>50</v>
      </c>
      <c r="C30" s="53" t="s">
        <v>278</v>
      </c>
      <c r="D30" s="53"/>
      <c r="E30" s="53" t="s">
        <v>26</v>
      </c>
      <c r="F30" s="45">
        <v>287.0</v>
      </c>
      <c r="G30" s="44" t="s">
        <v>21</v>
      </c>
      <c r="H30" s="44" t="s">
        <v>22</v>
      </c>
      <c r="I30" s="44" t="s">
        <v>279</v>
      </c>
      <c r="J30" s="44" t="s">
        <v>280</v>
      </c>
      <c r="K30" s="37"/>
      <c r="L30" s="38"/>
      <c r="M30" s="38"/>
      <c r="N30" s="38"/>
      <c r="O30" s="38">
        <v>5329000.0</v>
      </c>
      <c r="P30" s="40">
        <f t="shared" si="1"/>
        <v>5329000</v>
      </c>
      <c r="Q30" s="44" t="s">
        <v>129</v>
      </c>
      <c r="R30" s="54" t="s">
        <v>281</v>
      </c>
    </row>
    <row r="31" ht="15.75" customHeight="1">
      <c r="A31" s="44">
        <v>27.0</v>
      </c>
      <c r="B31" s="52" t="s">
        <v>50</v>
      </c>
      <c r="C31" s="53" t="s">
        <v>282</v>
      </c>
      <c r="D31" s="53"/>
      <c r="E31" s="53" t="s">
        <v>26</v>
      </c>
      <c r="F31" s="45">
        <v>235.0</v>
      </c>
      <c r="G31" s="44" t="s">
        <v>21</v>
      </c>
      <c r="H31" s="44" t="s">
        <v>22</v>
      </c>
      <c r="I31" s="44" t="s">
        <v>283</v>
      </c>
      <c r="J31" s="44" t="s">
        <v>284</v>
      </c>
      <c r="K31" s="37"/>
      <c r="L31" s="38"/>
      <c r="M31" s="38"/>
      <c r="N31" s="38"/>
      <c r="O31" s="38">
        <v>4419000.0</v>
      </c>
      <c r="P31" s="40">
        <f t="shared" si="1"/>
        <v>4419000</v>
      </c>
      <c r="Q31" s="44" t="s">
        <v>129</v>
      </c>
      <c r="R31" s="54" t="s">
        <v>281</v>
      </c>
    </row>
    <row r="32" ht="15.75" customHeight="1">
      <c r="A32" s="44">
        <v>28.0</v>
      </c>
      <c r="B32" s="52" t="s">
        <v>54</v>
      </c>
      <c r="C32" s="53" t="s">
        <v>187</v>
      </c>
      <c r="D32" s="53" t="s">
        <v>285</v>
      </c>
      <c r="E32" s="53" t="s">
        <v>37</v>
      </c>
      <c r="F32" s="45">
        <v>641.0</v>
      </c>
      <c r="G32" s="35" t="s">
        <v>21</v>
      </c>
      <c r="H32" s="44" t="s">
        <v>22</v>
      </c>
      <c r="I32" s="44" t="s">
        <v>286</v>
      </c>
      <c r="J32" s="44" t="s">
        <v>287</v>
      </c>
      <c r="K32" s="37"/>
      <c r="L32" s="38"/>
      <c r="M32" s="38"/>
      <c r="N32" s="38"/>
      <c r="O32" s="38">
        <v>3.0E7</v>
      </c>
      <c r="P32" s="40">
        <f t="shared" si="1"/>
        <v>30000000</v>
      </c>
      <c r="Q32" s="44" t="s">
        <v>129</v>
      </c>
      <c r="R32" s="54" t="s">
        <v>288</v>
      </c>
    </row>
    <row r="33" ht="15.75" customHeight="1">
      <c r="A33" s="44">
        <v>29.0</v>
      </c>
      <c r="B33" s="52" t="s">
        <v>54</v>
      </c>
      <c r="C33" s="53" t="s">
        <v>289</v>
      </c>
      <c r="D33" s="53" t="s">
        <v>290</v>
      </c>
      <c r="E33" s="53" t="s">
        <v>47</v>
      </c>
      <c r="F33" s="45">
        <v>681.0</v>
      </c>
      <c r="G33" s="44" t="s">
        <v>29</v>
      </c>
      <c r="H33" s="44" t="s">
        <v>22</v>
      </c>
      <c r="I33" s="44" t="s">
        <v>291</v>
      </c>
      <c r="J33" s="44" t="s">
        <v>292</v>
      </c>
      <c r="K33" s="37"/>
      <c r="L33" s="38"/>
      <c r="M33" s="38"/>
      <c r="N33" s="38"/>
      <c r="O33" s="38"/>
      <c r="P33" s="40" t="str">
        <f t="shared" si="1"/>
        <v/>
      </c>
      <c r="Q33" s="44" t="s">
        <v>129</v>
      </c>
      <c r="R33" s="54" t="s">
        <v>277</v>
      </c>
    </row>
    <row r="34" ht="15.75" customHeight="1">
      <c r="A34" s="44">
        <v>30.0</v>
      </c>
      <c r="B34" s="52" t="s">
        <v>54</v>
      </c>
      <c r="C34" s="53" t="s">
        <v>293</v>
      </c>
      <c r="D34" s="53" t="s">
        <v>294</v>
      </c>
      <c r="E34" s="53" t="s">
        <v>26</v>
      </c>
      <c r="F34" s="45">
        <v>393.0</v>
      </c>
      <c r="G34" s="44" t="s">
        <v>21</v>
      </c>
      <c r="H34" s="44" t="s">
        <v>22</v>
      </c>
      <c r="I34" s="44" t="s">
        <v>295</v>
      </c>
      <c r="J34" s="44" t="s">
        <v>296</v>
      </c>
      <c r="K34" s="37"/>
      <c r="L34" s="38"/>
      <c r="M34" s="38"/>
      <c r="N34" s="38"/>
      <c r="O34" s="38">
        <v>8294898.0</v>
      </c>
      <c r="P34" s="40">
        <f t="shared" si="1"/>
        <v>8294898</v>
      </c>
      <c r="Q34" s="44" t="s">
        <v>129</v>
      </c>
      <c r="R34" s="54" t="s">
        <v>199</v>
      </c>
    </row>
    <row r="35" ht="15.75" customHeight="1">
      <c r="A35" s="44">
        <v>31.0</v>
      </c>
      <c r="B35" s="52" t="s">
        <v>54</v>
      </c>
      <c r="C35" s="53" t="s">
        <v>297</v>
      </c>
      <c r="D35" s="53" t="s">
        <v>298</v>
      </c>
      <c r="E35" s="53" t="s">
        <v>26</v>
      </c>
      <c r="F35" s="45">
        <v>393.0</v>
      </c>
      <c r="G35" s="44" t="s">
        <v>21</v>
      </c>
      <c r="H35" s="44" t="s">
        <v>22</v>
      </c>
      <c r="I35" s="44" t="s">
        <v>299</v>
      </c>
      <c r="J35" s="44" t="s">
        <v>300</v>
      </c>
      <c r="K35" s="37"/>
      <c r="L35" s="38"/>
      <c r="M35" s="38"/>
      <c r="N35" s="38"/>
      <c r="O35" s="38">
        <v>8866326.0</v>
      </c>
      <c r="P35" s="40">
        <f t="shared" si="1"/>
        <v>8866326</v>
      </c>
      <c r="Q35" s="44" t="s">
        <v>129</v>
      </c>
      <c r="R35" s="54" t="s">
        <v>199</v>
      </c>
    </row>
    <row r="36" ht="15.75" customHeight="1">
      <c r="A36" s="44">
        <v>32.0</v>
      </c>
      <c r="B36" s="52" t="s">
        <v>54</v>
      </c>
      <c r="C36" s="53" t="s">
        <v>306</v>
      </c>
      <c r="D36" s="53" t="s">
        <v>294</v>
      </c>
      <c r="E36" s="53" t="s">
        <v>26</v>
      </c>
      <c r="F36" s="45">
        <v>348.0</v>
      </c>
      <c r="G36" s="44" t="s">
        <v>21</v>
      </c>
      <c r="H36" s="44" t="s">
        <v>22</v>
      </c>
      <c r="I36" s="44" t="s">
        <v>294</v>
      </c>
      <c r="J36" s="44" t="s">
        <v>296</v>
      </c>
      <c r="K36" s="37"/>
      <c r="L36" s="38"/>
      <c r="M36" s="38"/>
      <c r="N36" s="38"/>
      <c r="O36" s="38">
        <v>7570408.0</v>
      </c>
      <c r="P36" s="40">
        <f t="shared" si="1"/>
        <v>7570408</v>
      </c>
      <c r="Q36" s="44" t="s">
        <v>129</v>
      </c>
      <c r="R36" s="54" t="s">
        <v>199</v>
      </c>
    </row>
    <row r="37" ht="15.75" customHeight="1">
      <c r="A37" s="44">
        <v>33.0</v>
      </c>
      <c r="B37" s="52" t="s">
        <v>58</v>
      </c>
      <c r="C37" s="53" t="s">
        <v>195</v>
      </c>
      <c r="D37" s="53"/>
      <c r="E37" s="53" t="s">
        <v>37</v>
      </c>
      <c r="F37" s="37"/>
      <c r="G37" s="65" t="s">
        <v>21</v>
      </c>
      <c r="H37" s="44" t="s">
        <v>22</v>
      </c>
      <c r="I37" s="44" t="s">
        <v>307</v>
      </c>
      <c r="J37" s="44" t="s">
        <v>308</v>
      </c>
      <c r="K37" s="37"/>
      <c r="L37" s="38"/>
      <c r="M37" s="38"/>
      <c r="N37" s="38"/>
      <c r="O37" s="38">
        <v>5000000.0</v>
      </c>
      <c r="P37" s="40">
        <f t="shared" si="1"/>
        <v>5000000</v>
      </c>
      <c r="Q37" s="44" t="s">
        <v>129</v>
      </c>
      <c r="R37" s="54" t="s">
        <v>309</v>
      </c>
    </row>
    <row r="38" ht="15.75" customHeight="1">
      <c r="A38" s="44">
        <v>34.0</v>
      </c>
      <c r="B38" s="52" t="s">
        <v>58</v>
      </c>
      <c r="C38" s="53" t="s">
        <v>310</v>
      </c>
      <c r="D38" s="53"/>
      <c r="E38" s="53" t="s">
        <v>26</v>
      </c>
      <c r="F38" s="45">
        <v>473.0</v>
      </c>
      <c r="G38" s="65" t="s">
        <v>21</v>
      </c>
      <c r="H38" s="44" t="s">
        <v>22</v>
      </c>
      <c r="I38" s="44" t="s">
        <v>311</v>
      </c>
      <c r="J38" s="44" t="s">
        <v>312</v>
      </c>
      <c r="K38" s="37"/>
      <c r="L38" s="38"/>
      <c r="M38" s="38"/>
      <c r="N38" s="38"/>
      <c r="O38" s="38">
        <v>4500000.0</v>
      </c>
      <c r="P38" s="40">
        <f t="shared" si="1"/>
        <v>4500000</v>
      </c>
      <c r="Q38" s="44" t="s">
        <v>129</v>
      </c>
      <c r="R38" s="54" t="s">
        <v>313</v>
      </c>
    </row>
    <row r="39" ht="15.75" customHeight="1">
      <c r="A39" s="44">
        <v>35.0</v>
      </c>
      <c r="B39" s="52" t="s">
        <v>74</v>
      </c>
      <c r="C39" s="53" t="s">
        <v>314</v>
      </c>
      <c r="D39" s="53" t="s">
        <v>315</v>
      </c>
      <c r="E39" s="53" t="s">
        <v>47</v>
      </c>
      <c r="F39" s="45">
        <v>537.0</v>
      </c>
      <c r="G39" s="44" t="s">
        <v>29</v>
      </c>
      <c r="H39" s="44" t="s">
        <v>22</v>
      </c>
      <c r="I39" s="44" t="s">
        <v>316</v>
      </c>
      <c r="J39" s="44" t="s">
        <v>317</v>
      </c>
      <c r="K39" s="37"/>
      <c r="L39" s="38"/>
      <c r="M39" s="38"/>
      <c r="N39" s="38"/>
      <c r="O39" s="38"/>
      <c r="P39" s="40" t="str">
        <f t="shared" si="1"/>
        <v/>
      </c>
      <c r="Q39" s="44" t="s">
        <v>129</v>
      </c>
      <c r="R39" s="54" t="s">
        <v>277</v>
      </c>
    </row>
    <row r="40" ht="15.75" customHeight="1">
      <c r="A40" s="44">
        <v>36.0</v>
      </c>
      <c r="B40" s="52" t="s">
        <v>74</v>
      </c>
      <c r="C40" s="53" t="s">
        <v>318</v>
      </c>
      <c r="D40" s="53" t="s">
        <v>319</v>
      </c>
      <c r="E40" s="53" t="s">
        <v>47</v>
      </c>
      <c r="F40" s="45">
        <v>562.0</v>
      </c>
      <c r="G40" s="44" t="s">
        <v>21</v>
      </c>
      <c r="H40" s="44" t="s">
        <v>22</v>
      </c>
      <c r="I40" s="44" t="s">
        <v>320</v>
      </c>
      <c r="J40" s="44" t="s">
        <v>321</v>
      </c>
      <c r="K40" s="37"/>
      <c r="L40" s="38"/>
      <c r="M40" s="38"/>
      <c r="N40" s="38"/>
      <c r="O40" s="38"/>
      <c r="P40" s="40" t="str">
        <f t="shared" si="1"/>
        <v/>
      </c>
      <c r="Q40" s="44" t="s">
        <v>129</v>
      </c>
      <c r="R40" s="54" t="s">
        <v>277</v>
      </c>
    </row>
    <row r="41" ht="15.75" customHeight="1">
      <c r="A41" s="44">
        <v>37.0</v>
      </c>
      <c r="B41" s="52" t="s">
        <v>74</v>
      </c>
      <c r="C41" s="53" t="s">
        <v>322</v>
      </c>
      <c r="D41" s="53" t="s">
        <v>323</v>
      </c>
      <c r="E41" s="53" t="s">
        <v>47</v>
      </c>
      <c r="F41" s="45">
        <v>496.0</v>
      </c>
      <c r="G41" s="44" t="s">
        <v>29</v>
      </c>
      <c r="H41" s="44" t="s">
        <v>22</v>
      </c>
      <c r="I41" s="44" t="s">
        <v>324</v>
      </c>
      <c r="J41" s="44" t="s">
        <v>325</v>
      </c>
      <c r="K41" s="37"/>
      <c r="L41" s="38"/>
      <c r="M41" s="38"/>
      <c r="N41" s="38"/>
      <c r="O41" s="38"/>
      <c r="P41" s="40" t="str">
        <f t="shared" si="1"/>
        <v/>
      </c>
      <c r="Q41" s="44" t="s">
        <v>129</v>
      </c>
      <c r="R41" s="54" t="s">
        <v>326</v>
      </c>
    </row>
    <row r="42" ht="15.75" customHeight="1">
      <c r="A42" s="44">
        <v>38.0</v>
      </c>
      <c r="B42" s="52" t="s">
        <v>78</v>
      </c>
      <c r="C42" s="53" t="s">
        <v>327</v>
      </c>
      <c r="D42" s="53"/>
      <c r="E42" s="53" t="s">
        <v>37</v>
      </c>
      <c r="F42" s="45">
        <v>468.0</v>
      </c>
      <c r="G42" s="44" t="s">
        <v>21</v>
      </c>
      <c r="H42" s="44" t="s">
        <v>22</v>
      </c>
      <c r="I42" s="44" t="s">
        <v>328</v>
      </c>
      <c r="J42" s="44" t="s">
        <v>329</v>
      </c>
      <c r="K42" s="37"/>
      <c r="L42" s="38"/>
      <c r="M42" s="38"/>
      <c r="N42" s="38"/>
      <c r="O42" s="38"/>
      <c r="P42" s="40" t="str">
        <f t="shared" si="1"/>
        <v/>
      </c>
      <c r="Q42" s="44" t="s">
        <v>129</v>
      </c>
      <c r="R42" s="54" t="s">
        <v>326</v>
      </c>
    </row>
    <row r="43" ht="15.75" customHeight="1">
      <c r="A43" s="44">
        <v>39.0</v>
      </c>
      <c r="B43" s="52" t="s">
        <v>84</v>
      </c>
      <c r="C43" s="53" t="s">
        <v>330</v>
      </c>
      <c r="D43" s="53"/>
      <c r="E43" s="53" t="s">
        <v>37</v>
      </c>
      <c r="F43" s="45">
        <v>472.0</v>
      </c>
      <c r="G43" s="65" t="s">
        <v>21</v>
      </c>
      <c r="H43" s="44" t="s">
        <v>31</v>
      </c>
      <c r="I43" s="44" t="s">
        <v>331</v>
      </c>
      <c r="J43" s="44" t="s">
        <v>332</v>
      </c>
      <c r="K43" s="37"/>
      <c r="L43" s="38"/>
      <c r="M43" s="38"/>
      <c r="N43" s="38"/>
      <c r="O43" s="38">
        <v>6298000.0</v>
      </c>
      <c r="P43" s="40">
        <f t="shared" si="1"/>
        <v>6298000</v>
      </c>
      <c r="Q43" s="44" t="s">
        <v>129</v>
      </c>
      <c r="R43" s="54" t="s">
        <v>333</v>
      </c>
    </row>
    <row r="44" ht="15.75" customHeight="1">
      <c r="A44" s="44">
        <v>40.0</v>
      </c>
      <c r="B44" s="52" t="s">
        <v>63</v>
      </c>
      <c r="C44" s="53" t="s">
        <v>334</v>
      </c>
      <c r="D44" s="53" t="s">
        <v>335</v>
      </c>
      <c r="E44" s="53" t="s">
        <v>26</v>
      </c>
      <c r="F44" s="45">
        <v>260.0</v>
      </c>
      <c r="G44" s="65" t="s">
        <v>21</v>
      </c>
      <c r="H44" s="44" t="s">
        <v>31</v>
      </c>
      <c r="I44" s="44" t="s">
        <v>336</v>
      </c>
      <c r="J44" s="44" t="s">
        <v>337</v>
      </c>
      <c r="K44" s="37"/>
      <c r="L44" s="38"/>
      <c r="M44" s="38"/>
      <c r="N44" s="38"/>
      <c r="O44" s="38">
        <v>3356122.0</v>
      </c>
      <c r="P44" s="40">
        <f t="shared" si="1"/>
        <v>3356122</v>
      </c>
      <c r="Q44" s="44" t="s">
        <v>129</v>
      </c>
      <c r="R44" s="54" t="s">
        <v>338</v>
      </c>
    </row>
    <row r="45" ht="15.75" customHeight="1">
      <c r="A45" s="44">
        <v>41.0</v>
      </c>
      <c r="B45" s="52" t="s">
        <v>69</v>
      </c>
      <c r="C45" s="53" t="s">
        <v>339</v>
      </c>
      <c r="D45" s="53" t="s">
        <v>340</v>
      </c>
      <c r="E45" s="53" t="s">
        <v>26</v>
      </c>
      <c r="F45" s="45">
        <v>221.0</v>
      </c>
      <c r="G45" s="44" t="s">
        <v>21</v>
      </c>
      <c r="H45" s="44" t="s">
        <v>22</v>
      </c>
      <c r="I45" s="44" t="s">
        <v>341</v>
      </c>
      <c r="J45" s="44" t="s">
        <v>342</v>
      </c>
      <c r="K45" s="37"/>
      <c r="L45" s="38"/>
      <c r="M45" s="38"/>
      <c r="N45" s="38"/>
      <c r="O45" s="38">
        <v>4692800.0</v>
      </c>
      <c r="P45" s="40">
        <f t="shared" si="1"/>
        <v>4692800</v>
      </c>
      <c r="Q45" s="44" t="s">
        <v>129</v>
      </c>
      <c r="R45" s="54" t="s">
        <v>199</v>
      </c>
    </row>
    <row r="46" ht="15.75" customHeight="1">
      <c r="A46" s="44">
        <v>42.0</v>
      </c>
      <c r="B46" s="52" t="s">
        <v>69</v>
      </c>
      <c r="C46" s="53" t="s">
        <v>343</v>
      </c>
      <c r="D46" s="53" t="s">
        <v>344</v>
      </c>
      <c r="E46" s="53" t="s">
        <v>26</v>
      </c>
      <c r="F46" s="45">
        <v>217.0</v>
      </c>
      <c r="G46" s="44" t="s">
        <v>21</v>
      </c>
      <c r="H46" s="44" t="s">
        <v>22</v>
      </c>
      <c r="I46" s="44" t="s">
        <v>345</v>
      </c>
      <c r="J46" s="44" t="s">
        <v>346</v>
      </c>
      <c r="K46" s="37"/>
      <c r="L46" s="38"/>
      <c r="M46" s="38"/>
      <c r="N46" s="38"/>
      <c r="O46" s="38"/>
      <c r="P46" s="40" t="str">
        <f t="shared" si="1"/>
        <v/>
      </c>
      <c r="Q46" s="44" t="s">
        <v>129</v>
      </c>
      <c r="R46" s="54" t="s">
        <v>326</v>
      </c>
    </row>
    <row r="47" ht="15.75" customHeight="1">
      <c r="B47" s="12"/>
      <c r="C47" s="12"/>
      <c r="D47" s="12"/>
      <c r="E47" s="12"/>
      <c r="G47" s="66"/>
      <c r="H47" s="66"/>
      <c r="I47" s="14"/>
      <c r="J47" s="14"/>
      <c r="K47" s="15"/>
      <c r="P47" s="15"/>
      <c r="R47" s="16"/>
    </row>
    <row r="48" ht="15.75" customHeight="1">
      <c r="A48" s="24" t="s">
        <v>347</v>
      </c>
      <c r="P48" s="15"/>
      <c r="R48" s="16"/>
    </row>
    <row r="49" ht="15.75" customHeight="1">
      <c r="A49" s="6" t="s">
        <v>348</v>
      </c>
      <c r="P49" s="15"/>
      <c r="R49" s="16"/>
    </row>
    <row r="50" ht="15.75" customHeight="1">
      <c r="A50" s="6" t="s">
        <v>349</v>
      </c>
      <c r="P50" s="15"/>
      <c r="R50" s="16"/>
    </row>
    <row r="51" ht="15.75" customHeight="1">
      <c r="A51" s="6" t="s">
        <v>350</v>
      </c>
      <c r="P51" s="15"/>
      <c r="R51" s="16"/>
    </row>
    <row r="52" ht="15.75" customHeight="1">
      <c r="A52" s="6" t="s">
        <v>351</v>
      </c>
      <c r="P52" s="15"/>
      <c r="R52" s="16"/>
    </row>
    <row r="53" ht="15.75" customHeight="1">
      <c r="A53" s="6" t="s">
        <v>352</v>
      </c>
      <c r="P53" s="15"/>
      <c r="R53" s="16"/>
    </row>
    <row r="54" ht="15.75" customHeight="1">
      <c r="A54" s="6" t="s">
        <v>353</v>
      </c>
      <c r="P54" s="15"/>
      <c r="R54" s="16"/>
    </row>
    <row r="55" ht="15.75" customHeight="1">
      <c r="B55" s="12"/>
      <c r="C55" s="12"/>
      <c r="D55" s="12"/>
      <c r="E55" s="12"/>
      <c r="G55" s="66"/>
      <c r="H55" s="66"/>
      <c r="I55" s="14"/>
      <c r="J55" s="14"/>
      <c r="K55" s="15"/>
      <c r="P55" s="15"/>
      <c r="R55" s="16"/>
    </row>
    <row r="56" ht="15.75" customHeight="1">
      <c r="B56" s="12"/>
      <c r="C56" s="12"/>
      <c r="D56" s="12"/>
      <c r="E56" s="12"/>
      <c r="G56" s="66"/>
      <c r="H56" s="66"/>
      <c r="I56" s="14"/>
      <c r="J56" s="14"/>
      <c r="K56" s="15"/>
      <c r="P56" s="15"/>
      <c r="R56" s="16"/>
    </row>
    <row r="57" ht="15.75" customHeight="1">
      <c r="B57" s="12"/>
      <c r="C57" s="12"/>
      <c r="D57" s="12"/>
      <c r="E57" s="12"/>
      <c r="G57" s="66"/>
      <c r="H57" s="66"/>
      <c r="I57" s="14"/>
      <c r="J57" s="14"/>
      <c r="K57" s="15"/>
      <c r="P57" s="15"/>
      <c r="R57" s="16"/>
    </row>
    <row r="58" ht="15.75" customHeight="1">
      <c r="B58" s="12"/>
      <c r="C58" s="12"/>
      <c r="D58" s="12"/>
      <c r="E58" s="12"/>
      <c r="G58" s="66"/>
      <c r="H58" s="66"/>
      <c r="I58" s="14"/>
      <c r="J58" s="14"/>
      <c r="K58" s="15"/>
      <c r="P58" s="15"/>
      <c r="R58" s="16"/>
    </row>
    <row r="59" ht="15.75" customHeight="1">
      <c r="B59" s="12"/>
      <c r="C59" s="12"/>
      <c r="D59" s="12"/>
      <c r="E59" s="12"/>
      <c r="G59" s="66"/>
      <c r="H59" s="66"/>
      <c r="I59" s="14"/>
      <c r="J59" s="14"/>
      <c r="K59" s="15"/>
      <c r="P59" s="15"/>
      <c r="R59" s="16"/>
    </row>
    <row r="60" ht="15.75" customHeight="1">
      <c r="B60" s="12"/>
      <c r="C60" s="12"/>
      <c r="D60" s="12"/>
      <c r="E60" s="12"/>
      <c r="G60" s="66"/>
      <c r="H60" s="66"/>
      <c r="I60" s="14"/>
      <c r="J60" s="14"/>
      <c r="K60" s="15"/>
      <c r="P60" s="15"/>
      <c r="R60" s="16"/>
    </row>
    <row r="61" ht="15.75" customHeight="1">
      <c r="B61" s="12"/>
      <c r="C61" s="12"/>
      <c r="D61" s="12"/>
      <c r="E61" s="12"/>
      <c r="G61" s="66"/>
      <c r="H61" s="66"/>
      <c r="I61" s="14"/>
      <c r="J61" s="14"/>
      <c r="K61" s="15"/>
      <c r="P61" s="15"/>
      <c r="R61" s="16"/>
    </row>
    <row r="62" ht="15.75" customHeight="1">
      <c r="B62" s="12"/>
      <c r="C62" s="12"/>
      <c r="D62" s="12"/>
      <c r="E62" s="12"/>
      <c r="G62" s="66"/>
      <c r="H62" s="66"/>
      <c r="I62" s="14"/>
      <c r="J62" s="14"/>
      <c r="K62" s="15"/>
      <c r="P62" s="15"/>
      <c r="R62" s="16"/>
    </row>
    <row r="63" ht="15.75" customHeight="1">
      <c r="B63" s="12"/>
      <c r="C63" s="12"/>
      <c r="D63" s="12"/>
      <c r="E63" s="12"/>
      <c r="G63" s="66"/>
      <c r="H63" s="66"/>
      <c r="I63" s="14"/>
      <c r="J63" s="14"/>
      <c r="K63" s="15"/>
      <c r="P63" s="15"/>
      <c r="R63" s="16"/>
    </row>
    <row r="64" ht="15.75" customHeight="1">
      <c r="B64" s="12"/>
      <c r="C64" s="12"/>
      <c r="D64" s="12"/>
      <c r="E64" s="12"/>
      <c r="G64" s="66"/>
      <c r="H64" s="66"/>
      <c r="I64" s="14"/>
      <c r="J64" s="14"/>
      <c r="K64" s="15"/>
      <c r="P64" s="15"/>
      <c r="R64" s="16"/>
    </row>
    <row r="65" ht="15.75" customHeight="1">
      <c r="B65" s="12"/>
      <c r="C65" s="12"/>
      <c r="D65" s="12"/>
      <c r="E65" s="12"/>
      <c r="G65" s="66"/>
      <c r="H65" s="66"/>
      <c r="I65" s="14"/>
      <c r="J65" s="14"/>
      <c r="K65" s="15"/>
      <c r="P65" s="15"/>
      <c r="R65" s="16"/>
    </row>
    <row r="66" ht="15.75" customHeight="1">
      <c r="B66" s="12"/>
      <c r="C66" s="12"/>
      <c r="D66" s="12"/>
      <c r="E66" s="12"/>
      <c r="G66" s="66"/>
      <c r="H66" s="66"/>
      <c r="I66" s="14"/>
      <c r="J66" s="14"/>
      <c r="K66" s="15"/>
      <c r="P66" s="15"/>
      <c r="R66" s="16"/>
    </row>
    <row r="67" ht="15.75" customHeight="1">
      <c r="B67" s="12"/>
      <c r="C67" s="12"/>
      <c r="D67" s="12"/>
      <c r="E67" s="12"/>
      <c r="G67" s="66"/>
      <c r="H67" s="66"/>
      <c r="I67" s="14"/>
      <c r="J67" s="14"/>
      <c r="K67" s="15"/>
      <c r="P67" s="15"/>
      <c r="R67" s="16"/>
    </row>
    <row r="68" ht="15.75" customHeight="1">
      <c r="B68" s="12"/>
      <c r="C68" s="12"/>
      <c r="D68" s="12"/>
      <c r="E68" s="12"/>
      <c r="G68" s="66"/>
      <c r="H68" s="66"/>
      <c r="I68" s="14"/>
      <c r="J68" s="14"/>
      <c r="K68" s="15"/>
      <c r="P68" s="15"/>
      <c r="R68" s="16"/>
    </row>
    <row r="69" ht="15.75" customHeight="1">
      <c r="B69" s="12"/>
      <c r="C69" s="12"/>
      <c r="D69" s="12"/>
      <c r="E69" s="12"/>
      <c r="G69" s="66"/>
      <c r="H69" s="66"/>
      <c r="I69" s="14"/>
      <c r="J69" s="14"/>
      <c r="K69" s="15"/>
      <c r="P69" s="15"/>
      <c r="R69" s="16"/>
    </row>
    <row r="70" ht="15.75" customHeight="1">
      <c r="B70" s="12"/>
      <c r="C70" s="12"/>
      <c r="D70" s="12"/>
      <c r="E70" s="12"/>
      <c r="G70" s="66"/>
      <c r="H70" s="66"/>
      <c r="I70" s="14"/>
      <c r="J70" s="14"/>
      <c r="K70" s="15"/>
      <c r="P70" s="15"/>
      <c r="R70" s="16"/>
    </row>
    <row r="71" ht="15.75" customHeight="1">
      <c r="B71" s="12"/>
      <c r="C71" s="12"/>
      <c r="D71" s="12"/>
      <c r="E71" s="12"/>
      <c r="G71" s="66"/>
      <c r="H71" s="66"/>
      <c r="I71" s="14"/>
      <c r="J71" s="14"/>
      <c r="K71" s="15"/>
      <c r="P71" s="15"/>
      <c r="R71" s="16"/>
    </row>
    <row r="72" ht="15.75" customHeight="1">
      <c r="B72" s="12"/>
      <c r="C72" s="12"/>
      <c r="D72" s="12"/>
      <c r="E72" s="12"/>
      <c r="G72" s="66"/>
      <c r="H72" s="66"/>
      <c r="I72" s="14"/>
      <c r="J72" s="14"/>
      <c r="K72" s="15"/>
      <c r="P72" s="15"/>
      <c r="R72" s="16"/>
    </row>
    <row r="73" ht="15.75" customHeight="1">
      <c r="B73" s="12"/>
      <c r="C73" s="12"/>
      <c r="D73" s="12"/>
      <c r="E73" s="12"/>
      <c r="G73" s="66"/>
      <c r="H73" s="66"/>
      <c r="I73" s="14"/>
      <c r="J73" s="14"/>
      <c r="K73" s="15"/>
      <c r="P73" s="15"/>
      <c r="R73" s="16"/>
    </row>
    <row r="74" ht="15.75" customHeight="1">
      <c r="B74" s="12"/>
      <c r="C74" s="12"/>
      <c r="D74" s="12"/>
      <c r="E74" s="12"/>
      <c r="G74" s="66"/>
      <c r="H74" s="66"/>
      <c r="I74" s="14"/>
      <c r="J74" s="14"/>
      <c r="K74" s="15"/>
      <c r="P74" s="15"/>
      <c r="R74" s="16"/>
    </row>
    <row r="75" ht="15.75" customHeight="1">
      <c r="B75" s="12"/>
      <c r="C75" s="12"/>
      <c r="D75" s="12"/>
      <c r="E75" s="12"/>
      <c r="G75" s="66"/>
      <c r="H75" s="66"/>
      <c r="I75" s="14"/>
      <c r="J75" s="14"/>
      <c r="K75" s="15"/>
      <c r="P75" s="15"/>
      <c r="R75" s="16"/>
    </row>
    <row r="76" ht="15.75" customHeight="1">
      <c r="B76" s="12"/>
      <c r="C76" s="12"/>
      <c r="D76" s="12"/>
      <c r="E76" s="12"/>
      <c r="G76" s="66"/>
      <c r="H76" s="66"/>
      <c r="I76" s="14"/>
      <c r="J76" s="14"/>
      <c r="K76" s="15"/>
      <c r="P76" s="15"/>
      <c r="R76" s="16"/>
    </row>
    <row r="77" ht="15.75" customHeight="1">
      <c r="B77" s="12"/>
      <c r="C77" s="12"/>
      <c r="D77" s="12"/>
      <c r="E77" s="12"/>
      <c r="G77" s="66"/>
      <c r="H77" s="66"/>
      <c r="I77" s="14"/>
      <c r="J77" s="14"/>
      <c r="K77" s="15"/>
      <c r="P77" s="15"/>
      <c r="R77" s="16"/>
    </row>
    <row r="78" ht="15.75" customHeight="1">
      <c r="B78" s="12"/>
      <c r="C78" s="12"/>
      <c r="D78" s="12"/>
      <c r="E78" s="12"/>
      <c r="G78" s="66"/>
      <c r="H78" s="66"/>
      <c r="I78" s="14"/>
      <c r="J78" s="14"/>
      <c r="K78" s="15"/>
      <c r="P78" s="15"/>
      <c r="R78" s="16"/>
    </row>
    <row r="79" ht="15.75" customHeight="1">
      <c r="B79" s="12"/>
      <c r="C79" s="12"/>
      <c r="D79" s="12"/>
      <c r="E79" s="12"/>
      <c r="G79" s="66"/>
      <c r="H79" s="66"/>
      <c r="I79" s="14"/>
      <c r="J79" s="14"/>
      <c r="K79" s="15"/>
      <c r="P79" s="15"/>
      <c r="R79" s="16"/>
    </row>
    <row r="80" ht="15.75" customHeight="1">
      <c r="B80" s="12"/>
      <c r="C80" s="12"/>
      <c r="D80" s="12"/>
      <c r="E80" s="12"/>
      <c r="G80" s="66"/>
      <c r="H80" s="66"/>
      <c r="I80" s="14"/>
      <c r="J80" s="14"/>
      <c r="K80" s="15"/>
      <c r="P80" s="15"/>
      <c r="R80" s="16"/>
    </row>
    <row r="81" ht="15.75" customHeight="1">
      <c r="B81" s="12"/>
      <c r="C81" s="12"/>
      <c r="D81" s="12"/>
      <c r="E81" s="12"/>
      <c r="G81" s="66"/>
      <c r="H81" s="66"/>
      <c r="I81" s="14"/>
      <c r="J81" s="14"/>
      <c r="K81" s="15"/>
      <c r="P81" s="15"/>
      <c r="R81" s="16"/>
    </row>
    <row r="82" ht="15.75" customHeight="1">
      <c r="B82" s="12"/>
      <c r="C82" s="12"/>
      <c r="D82" s="12"/>
      <c r="E82" s="12"/>
      <c r="G82" s="66"/>
      <c r="H82" s="66"/>
      <c r="I82" s="14"/>
      <c r="J82" s="14"/>
      <c r="K82" s="15"/>
      <c r="P82" s="15"/>
      <c r="R82" s="16"/>
    </row>
    <row r="83" ht="15.75" customHeight="1">
      <c r="B83" s="12"/>
      <c r="C83" s="12"/>
      <c r="D83" s="12"/>
      <c r="E83" s="12"/>
      <c r="G83" s="66"/>
      <c r="H83" s="66"/>
      <c r="I83" s="14"/>
      <c r="J83" s="14"/>
      <c r="K83" s="15"/>
      <c r="P83" s="15"/>
      <c r="R83" s="16"/>
    </row>
    <row r="84" ht="15.75" customHeight="1">
      <c r="B84" s="12"/>
      <c r="C84" s="12"/>
      <c r="D84" s="12"/>
      <c r="E84" s="12"/>
      <c r="G84" s="66"/>
      <c r="H84" s="66"/>
      <c r="I84" s="14"/>
      <c r="J84" s="14"/>
      <c r="K84" s="15"/>
      <c r="P84" s="15"/>
      <c r="R84" s="16"/>
    </row>
    <row r="85" ht="15.75" customHeight="1">
      <c r="B85" s="12"/>
      <c r="C85" s="12"/>
      <c r="D85" s="12"/>
      <c r="E85" s="12"/>
      <c r="G85" s="66"/>
      <c r="H85" s="66"/>
      <c r="I85" s="14"/>
      <c r="J85" s="14"/>
      <c r="K85" s="15"/>
      <c r="P85" s="15"/>
      <c r="R85" s="16"/>
    </row>
    <row r="86" ht="15.75" customHeight="1">
      <c r="B86" s="12"/>
      <c r="C86" s="12"/>
      <c r="D86" s="12"/>
      <c r="E86" s="12"/>
      <c r="G86" s="66"/>
      <c r="H86" s="66"/>
      <c r="I86" s="14"/>
      <c r="J86" s="14"/>
      <c r="K86" s="15"/>
      <c r="P86" s="15"/>
      <c r="R86" s="16"/>
    </row>
    <row r="87" ht="15.75" customHeight="1">
      <c r="B87" s="12"/>
      <c r="C87" s="12"/>
      <c r="D87" s="12"/>
      <c r="E87" s="12"/>
      <c r="G87" s="66"/>
      <c r="H87" s="66"/>
      <c r="I87" s="14"/>
      <c r="J87" s="14"/>
      <c r="K87" s="15"/>
      <c r="P87" s="15"/>
      <c r="R87" s="16"/>
    </row>
    <row r="88" ht="15.75" customHeight="1">
      <c r="B88" s="12"/>
      <c r="C88" s="12"/>
      <c r="D88" s="12"/>
      <c r="E88" s="12"/>
      <c r="G88" s="66"/>
      <c r="H88" s="66"/>
      <c r="I88" s="14"/>
      <c r="J88" s="14"/>
      <c r="K88" s="15"/>
      <c r="P88" s="15"/>
      <c r="R88" s="16"/>
    </row>
    <row r="89" ht="15.75" customHeight="1">
      <c r="B89" s="12"/>
      <c r="C89" s="12"/>
      <c r="D89" s="12"/>
      <c r="E89" s="12"/>
      <c r="G89" s="66"/>
      <c r="H89" s="66"/>
      <c r="I89" s="14"/>
      <c r="J89" s="14"/>
      <c r="K89" s="15"/>
      <c r="P89" s="15"/>
      <c r="R89" s="16"/>
    </row>
    <row r="90" ht="15.75" customHeight="1">
      <c r="B90" s="12"/>
      <c r="C90" s="12"/>
      <c r="D90" s="12"/>
      <c r="E90" s="12"/>
      <c r="G90" s="66"/>
      <c r="H90" s="66"/>
      <c r="I90" s="14"/>
      <c r="J90" s="14"/>
      <c r="K90" s="15"/>
      <c r="P90" s="15"/>
      <c r="R90" s="16"/>
    </row>
    <row r="91" ht="15.75" customHeight="1">
      <c r="B91" s="12"/>
      <c r="C91" s="12"/>
      <c r="D91" s="12"/>
      <c r="E91" s="12"/>
      <c r="G91" s="66"/>
      <c r="H91" s="66"/>
      <c r="I91" s="14"/>
      <c r="J91" s="14"/>
      <c r="K91" s="15"/>
      <c r="P91" s="15"/>
      <c r="R91" s="16"/>
    </row>
    <row r="92" ht="15.75" customHeight="1">
      <c r="B92" s="12"/>
      <c r="C92" s="12"/>
      <c r="D92" s="12"/>
      <c r="E92" s="12"/>
      <c r="G92" s="66"/>
      <c r="H92" s="66"/>
      <c r="I92" s="14"/>
      <c r="J92" s="14"/>
      <c r="K92" s="15"/>
      <c r="P92" s="15"/>
      <c r="R92" s="16"/>
    </row>
    <row r="93" ht="15.75" customHeight="1">
      <c r="B93" s="12"/>
      <c r="C93" s="12"/>
      <c r="D93" s="12"/>
      <c r="E93" s="12"/>
      <c r="G93" s="66"/>
      <c r="H93" s="66"/>
      <c r="I93" s="14"/>
      <c r="J93" s="14"/>
      <c r="K93" s="15"/>
      <c r="P93" s="15"/>
      <c r="R93" s="16"/>
    </row>
    <row r="94" ht="15.75" customHeight="1">
      <c r="B94" s="12"/>
      <c r="C94" s="12"/>
      <c r="D94" s="12"/>
      <c r="E94" s="12"/>
      <c r="G94" s="66"/>
      <c r="H94" s="66"/>
      <c r="I94" s="14"/>
      <c r="J94" s="14"/>
      <c r="K94" s="15"/>
      <c r="P94" s="15"/>
      <c r="R94" s="16"/>
    </row>
    <row r="95" ht="15.75" customHeight="1">
      <c r="B95" s="12"/>
      <c r="C95" s="12"/>
      <c r="D95" s="12"/>
      <c r="E95" s="12"/>
      <c r="G95" s="66"/>
      <c r="H95" s="66"/>
      <c r="I95" s="14"/>
      <c r="J95" s="14"/>
      <c r="K95" s="15"/>
      <c r="P95" s="15"/>
      <c r="R95" s="16"/>
    </row>
    <row r="96" ht="15.75" customHeight="1">
      <c r="B96" s="12"/>
      <c r="C96" s="12"/>
      <c r="D96" s="12"/>
      <c r="E96" s="12"/>
      <c r="G96" s="66"/>
      <c r="H96" s="66"/>
      <c r="I96" s="14"/>
      <c r="J96" s="14"/>
      <c r="K96" s="15"/>
      <c r="P96" s="15"/>
      <c r="R96" s="16"/>
    </row>
    <row r="97" ht="15.75" customHeight="1">
      <c r="B97" s="12"/>
      <c r="C97" s="12"/>
      <c r="D97" s="12"/>
      <c r="E97" s="12"/>
      <c r="G97" s="66"/>
      <c r="H97" s="66"/>
      <c r="I97" s="14"/>
      <c r="J97" s="14"/>
      <c r="K97" s="15"/>
      <c r="P97" s="15"/>
      <c r="R97" s="16"/>
    </row>
    <row r="98" ht="15.75" customHeight="1">
      <c r="B98" s="12"/>
      <c r="C98" s="12"/>
      <c r="D98" s="12"/>
      <c r="E98" s="12"/>
      <c r="G98" s="66"/>
      <c r="H98" s="66"/>
      <c r="I98" s="14"/>
      <c r="J98" s="14"/>
      <c r="K98" s="15"/>
      <c r="P98" s="15"/>
      <c r="R98" s="16"/>
    </row>
    <row r="99" ht="15.75" customHeight="1">
      <c r="B99" s="12"/>
      <c r="C99" s="12"/>
      <c r="D99" s="12"/>
      <c r="E99" s="12"/>
      <c r="G99" s="66"/>
      <c r="H99" s="66"/>
      <c r="I99" s="14"/>
      <c r="J99" s="14"/>
      <c r="K99" s="15"/>
      <c r="P99" s="15"/>
      <c r="R99" s="16"/>
    </row>
    <row r="100" ht="15.75" customHeight="1">
      <c r="B100" s="12"/>
      <c r="C100" s="12"/>
      <c r="D100" s="12"/>
      <c r="E100" s="12"/>
      <c r="G100" s="66"/>
      <c r="H100" s="66"/>
      <c r="I100" s="14"/>
      <c r="J100" s="14"/>
      <c r="K100" s="15"/>
      <c r="P100" s="15"/>
      <c r="R100" s="16"/>
    </row>
    <row r="101" ht="15.75" customHeight="1">
      <c r="B101" s="12"/>
      <c r="C101" s="12"/>
      <c r="D101" s="12"/>
      <c r="E101" s="12"/>
      <c r="G101" s="66"/>
      <c r="H101" s="66"/>
      <c r="I101" s="14"/>
      <c r="J101" s="14"/>
      <c r="K101" s="15"/>
      <c r="P101" s="15"/>
      <c r="R101" s="16"/>
    </row>
    <row r="102" ht="15.75" customHeight="1">
      <c r="B102" s="12"/>
      <c r="C102" s="12"/>
      <c r="D102" s="12"/>
      <c r="E102" s="12"/>
      <c r="G102" s="66"/>
      <c r="H102" s="66"/>
      <c r="I102" s="14"/>
      <c r="J102" s="14"/>
      <c r="K102" s="15"/>
      <c r="P102" s="15"/>
      <c r="R102" s="16"/>
    </row>
    <row r="103" ht="15.75" customHeight="1">
      <c r="B103" s="12"/>
      <c r="C103" s="12"/>
      <c r="D103" s="12"/>
      <c r="E103" s="12"/>
      <c r="G103" s="66"/>
      <c r="H103" s="66"/>
      <c r="I103" s="14"/>
      <c r="J103" s="14"/>
      <c r="K103" s="15"/>
      <c r="P103" s="15"/>
      <c r="R103" s="16"/>
    </row>
    <row r="104" ht="15.75" customHeight="1">
      <c r="B104" s="12"/>
      <c r="C104" s="12"/>
      <c r="D104" s="12"/>
      <c r="E104" s="12"/>
      <c r="G104" s="66"/>
      <c r="H104" s="66"/>
      <c r="I104" s="14"/>
      <c r="J104" s="14"/>
      <c r="K104" s="15"/>
      <c r="P104" s="15"/>
      <c r="R104" s="16"/>
    </row>
    <row r="105" ht="15.75" customHeight="1">
      <c r="B105" s="12"/>
      <c r="C105" s="12"/>
      <c r="D105" s="12"/>
      <c r="E105" s="12"/>
      <c r="G105" s="66"/>
      <c r="H105" s="66"/>
      <c r="I105" s="14"/>
      <c r="J105" s="14"/>
      <c r="K105" s="15"/>
      <c r="P105" s="15"/>
      <c r="R105" s="16"/>
    </row>
    <row r="106" ht="15.75" customHeight="1">
      <c r="B106" s="12"/>
      <c r="C106" s="12"/>
      <c r="D106" s="12"/>
      <c r="E106" s="12"/>
      <c r="G106" s="66"/>
      <c r="H106" s="66"/>
      <c r="I106" s="14"/>
      <c r="J106" s="14"/>
      <c r="K106" s="15"/>
      <c r="P106" s="15"/>
      <c r="R106" s="16"/>
    </row>
    <row r="107" ht="15.75" customHeight="1">
      <c r="B107" s="12"/>
      <c r="C107" s="12"/>
      <c r="D107" s="12"/>
      <c r="E107" s="12"/>
      <c r="G107" s="66"/>
      <c r="H107" s="66"/>
      <c r="I107" s="14"/>
      <c r="J107" s="14"/>
      <c r="K107" s="15"/>
      <c r="P107" s="15"/>
      <c r="R107" s="16"/>
    </row>
    <row r="108" ht="15.75" customHeight="1">
      <c r="B108" s="12"/>
      <c r="C108" s="12"/>
      <c r="D108" s="12"/>
      <c r="E108" s="12"/>
      <c r="G108" s="66"/>
      <c r="H108" s="66"/>
      <c r="I108" s="14"/>
      <c r="J108" s="14"/>
      <c r="K108" s="15"/>
      <c r="P108" s="15"/>
      <c r="R108" s="16"/>
    </row>
    <row r="109" ht="15.75" customHeight="1">
      <c r="B109" s="12"/>
      <c r="C109" s="12"/>
      <c r="D109" s="12"/>
      <c r="E109" s="12"/>
      <c r="G109" s="66"/>
      <c r="H109" s="66"/>
      <c r="I109" s="14"/>
      <c r="J109" s="14"/>
      <c r="K109" s="15"/>
      <c r="P109" s="15"/>
      <c r="R109" s="16"/>
    </row>
    <row r="110" ht="15.75" customHeight="1">
      <c r="B110" s="12"/>
      <c r="C110" s="12"/>
      <c r="D110" s="12"/>
      <c r="E110" s="12"/>
      <c r="G110" s="66"/>
      <c r="H110" s="66"/>
      <c r="I110" s="14"/>
      <c r="J110" s="14"/>
      <c r="K110" s="15"/>
      <c r="P110" s="15"/>
      <c r="R110" s="16"/>
    </row>
    <row r="111" ht="15.75" customHeight="1">
      <c r="B111" s="12"/>
      <c r="C111" s="12"/>
      <c r="D111" s="12"/>
      <c r="E111" s="12"/>
      <c r="G111" s="66"/>
      <c r="H111" s="66"/>
      <c r="I111" s="14"/>
      <c r="J111" s="14"/>
      <c r="K111" s="15"/>
      <c r="P111" s="15"/>
      <c r="R111" s="16"/>
    </row>
    <row r="112" ht="15.75" customHeight="1">
      <c r="B112" s="12"/>
      <c r="C112" s="12"/>
      <c r="D112" s="12"/>
      <c r="E112" s="12"/>
      <c r="G112" s="66"/>
      <c r="H112" s="66"/>
      <c r="I112" s="14"/>
      <c r="J112" s="14"/>
      <c r="K112" s="15"/>
      <c r="P112" s="15"/>
      <c r="R112" s="16"/>
    </row>
    <row r="113" ht="15.75" customHeight="1">
      <c r="B113" s="12"/>
      <c r="C113" s="12"/>
      <c r="D113" s="12"/>
      <c r="E113" s="12"/>
      <c r="G113" s="66"/>
      <c r="H113" s="66"/>
      <c r="I113" s="14"/>
      <c r="J113" s="14"/>
      <c r="K113" s="15"/>
      <c r="P113" s="15"/>
      <c r="R113" s="16"/>
    </row>
    <row r="114" ht="15.75" customHeight="1">
      <c r="B114" s="12"/>
      <c r="C114" s="12"/>
      <c r="D114" s="12"/>
      <c r="E114" s="12"/>
      <c r="G114" s="66"/>
      <c r="H114" s="66"/>
      <c r="I114" s="14"/>
      <c r="J114" s="14"/>
      <c r="K114" s="15"/>
      <c r="P114" s="15"/>
      <c r="R114" s="16"/>
    </row>
    <row r="115" ht="15.75" customHeight="1">
      <c r="B115" s="12"/>
      <c r="C115" s="12"/>
      <c r="D115" s="12"/>
      <c r="E115" s="12"/>
      <c r="G115" s="66"/>
      <c r="H115" s="66"/>
      <c r="I115" s="14"/>
      <c r="J115" s="14"/>
      <c r="K115" s="15"/>
      <c r="P115" s="15"/>
      <c r="R115" s="16"/>
    </row>
    <row r="116" ht="15.75" customHeight="1">
      <c r="B116" s="12"/>
      <c r="C116" s="12"/>
      <c r="D116" s="12"/>
      <c r="E116" s="12"/>
      <c r="G116" s="66"/>
      <c r="H116" s="66"/>
      <c r="I116" s="14"/>
      <c r="J116" s="14"/>
      <c r="K116" s="15"/>
      <c r="P116" s="15"/>
      <c r="R116" s="16"/>
    </row>
    <row r="117" ht="15.75" customHeight="1">
      <c r="B117" s="12"/>
      <c r="C117" s="12"/>
      <c r="D117" s="12"/>
      <c r="E117" s="12"/>
      <c r="G117" s="66"/>
      <c r="H117" s="66"/>
      <c r="I117" s="14"/>
      <c r="J117" s="14"/>
      <c r="K117" s="15"/>
      <c r="P117" s="15"/>
      <c r="R117" s="16"/>
    </row>
    <row r="118" ht="15.75" customHeight="1">
      <c r="B118" s="12"/>
      <c r="C118" s="12"/>
      <c r="D118" s="12"/>
      <c r="E118" s="12"/>
      <c r="G118" s="66"/>
      <c r="H118" s="66"/>
      <c r="I118" s="14"/>
      <c r="J118" s="14"/>
      <c r="K118" s="15"/>
      <c r="P118" s="15"/>
      <c r="R118" s="16"/>
    </row>
    <row r="119" ht="15.75" customHeight="1">
      <c r="B119" s="12"/>
      <c r="C119" s="12"/>
      <c r="D119" s="12"/>
      <c r="E119" s="12"/>
      <c r="G119" s="66"/>
      <c r="H119" s="66"/>
      <c r="I119" s="14"/>
      <c r="J119" s="14"/>
      <c r="K119" s="15"/>
      <c r="P119" s="15"/>
      <c r="R119" s="16"/>
    </row>
    <row r="120" ht="15.75" customHeight="1">
      <c r="B120" s="12"/>
      <c r="C120" s="12"/>
      <c r="D120" s="12"/>
      <c r="E120" s="12"/>
      <c r="G120" s="66"/>
      <c r="H120" s="66"/>
      <c r="I120" s="14"/>
      <c r="J120" s="14"/>
      <c r="K120" s="15"/>
      <c r="P120" s="15"/>
      <c r="R120" s="16"/>
    </row>
    <row r="121" ht="15.75" customHeight="1">
      <c r="B121" s="12"/>
      <c r="C121" s="12"/>
      <c r="D121" s="12"/>
      <c r="E121" s="12"/>
      <c r="G121" s="66"/>
      <c r="H121" s="66"/>
      <c r="I121" s="14"/>
      <c r="J121" s="14"/>
      <c r="K121" s="15"/>
      <c r="P121" s="15"/>
      <c r="R121" s="16"/>
    </row>
    <row r="122" ht="15.75" customHeight="1">
      <c r="B122" s="12"/>
      <c r="C122" s="12"/>
      <c r="D122" s="12"/>
      <c r="E122" s="12"/>
      <c r="G122" s="66"/>
      <c r="H122" s="66"/>
      <c r="I122" s="14"/>
      <c r="J122" s="14"/>
      <c r="K122" s="15"/>
      <c r="P122" s="15"/>
      <c r="R122" s="16"/>
    </row>
    <row r="123" ht="15.75" customHeight="1">
      <c r="B123" s="12"/>
      <c r="C123" s="12"/>
      <c r="D123" s="12"/>
      <c r="E123" s="12"/>
      <c r="G123" s="66"/>
      <c r="H123" s="66"/>
      <c r="I123" s="14"/>
      <c r="J123" s="14"/>
      <c r="K123" s="15"/>
      <c r="P123" s="15"/>
      <c r="R123" s="16"/>
    </row>
    <row r="124" ht="15.75" customHeight="1">
      <c r="B124" s="12"/>
      <c r="C124" s="12"/>
      <c r="D124" s="12"/>
      <c r="E124" s="12"/>
      <c r="G124" s="66"/>
      <c r="H124" s="66"/>
      <c r="I124" s="14"/>
      <c r="J124" s="14"/>
      <c r="K124" s="15"/>
      <c r="P124" s="15"/>
      <c r="R124" s="16"/>
    </row>
    <row r="125" ht="15.75" customHeight="1">
      <c r="B125" s="12"/>
      <c r="C125" s="12"/>
      <c r="D125" s="12"/>
      <c r="E125" s="12"/>
      <c r="G125" s="66"/>
      <c r="H125" s="66"/>
      <c r="I125" s="14"/>
      <c r="J125" s="14"/>
      <c r="K125" s="15"/>
      <c r="P125" s="15"/>
      <c r="R125" s="16"/>
    </row>
    <row r="126" ht="15.75" customHeight="1">
      <c r="B126" s="12"/>
      <c r="C126" s="12"/>
      <c r="D126" s="12"/>
      <c r="E126" s="12"/>
      <c r="G126" s="66"/>
      <c r="H126" s="66"/>
      <c r="I126" s="14"/>
      <c r="J126" s="14"/>
      <c r="K126" s="15"/>
      <c r="P126" s="15"/>
      <c r="R126" s="16"/>
    </row>
    <row r="127" ht="15.75" customHeight="1">
      <c r="B127" s="12"/>
      <c r="C127" s="12"/>
      <c r="D127" s="12"/>
      <c r="E127" s="12"/>
      <c r="G127" s="66"/>
      <c r="H127" s="66"/>
      <c r="I127" s="14"/>
      <c r="J127" s="14"/>
      <c r="K127" s="15"/>
      <c r="P127" s="15"/>
      <c r="R127" s="16"/>
    </row>
    <row r="128" ht="15.75" customHeight="1">
      <c r="B128" s="12"/>
      <c r="C128" s="12"/>
      <c r="D128" s="12"/>
      <c r="E128" s="12"/>
      <c r="G128" s="66"/>
      <c r="H128" s="66"/>
      <c r="I128" s="14"/>
      <c r="J128" s="14"/>
      <c r="K128" s="15"/>
      <c r="P128" s="15"/>
      <c r="R128" s="16"/>
    </row>
    <row r="129" ht="15.75" customHeight="1">
      <c r="B129" s="12"/>
      <c r="C129" s="12"/>
      <c r="D129" s="12"/>
      <c r="E129" s="12"/>
      <c r="G129" s="66"/>
      <c r="H129" s="66"/>
      <c r="I129" s="14"/>
      <c r="J129" s="14"/>
      <c r="K129" s="15"/>
      <c r="P129" s="15"/>
      <c r="R129" s="16"/>
    </row>
    <row r="130" ht="15.75" customHeight="1">
      <c r="B130" s="12"/>
      <c r="C130" s="12"/>
      <c r="D130" s="12"/>
      <c r="E130" s="12"/>
      <c r="G130" s="66"/>
      <c r="H130" s="66"/>
      <c r="I130" s="14"/>
      <c r="J130" s="14"/>
      <c r="K130" s="15"/>
      <c r="P130" s="15"/>
      <c r="R130" s="16"/>
    </row>
    <row r="131" ht="15.75" customHeight="1">
      <c r="B131" s="12"/>
      <c r="C131" s="12"/>
      <c r="D131" s="12"/>
      <c r="E131" s="12"/>
      <c r="G131" s="66"/>
      <c r="H131" s="66"/>
      <c r="I131" s="14"/>
      <c r="J131" s="14"/>
      <c r="K131" s="15"/>
      <c r="P131" s="15"/>
      <c r="R131" s="16"/>
    </row>
    <row r="132" ht="15.75" customHeight="1">
      <c r="B132" s="12"/>
      <c r="C132" s="12"/>
      <c r="D132" s="12"/>
      <c r="E132" s="12"/>
      <c r="G132" s="66"/>
      <c r="H132" s="66"/>
      <c r="I132" s="14"/>
      <c r="J132" s="14"/>
      <c r="K132" s="15"/>
      <c r="P132" s="15"/>
      <c r="R132" s="16"/>
    </row>
    <row r="133" ht="15.75" customHeight="1">
      <c r="B133" s="12"/>
      <c r="C133" s="12"/>
      <c r="D133" s="12"/>
      <c r="E133" s="12"/>
      <c r="G133" s="66"/>
      <c r="H133" s="66"/>
      <c r="I133" s="14"/>
      <c r="J133" s="14"/>
      <c r="K133" s="15"/>
      <c r="P133" s="15"/>
      <c r="R133" s="16"/>
    </row>
    <row r="134" ht="15.75" customHeight="1">
      <c r="B134" s="12"/>
      <c r="C134" s="12"/>
      <c r="D134" s="12"/>
      <c r="E134" s="12"/>
      <c r="G134" s="66"/>
      <c r="H134" s="66"/>
      <c r="I134" s="14"/>
      <c r="J134" s="14"/>
      <c r="K134" s="15"/>
      <c r="P134" s="15"/>
      <c r="R134" s="16"/>
    </row>
    <row r="135" ht="15.75" customHeight="1">
      <c r="B135" s="12"/>
      <c r="C135" s="12"/>
      <c r="D135" s="12"/>
      <c r="E135" s="12"/>
      <c r="G135" s="66"/>
      <c r="H135" s="66"/>
      <c r="I135" s="14"/>
      <c r="J135" s="14"/>
      <c r="K135" s="15"/>
      <c r="P135" s="15"/>
      <c r="R135" s="16"/>
    </row>
    <row r="136" ht="15.75" customHeight="1">
      <c r="B136" s="12"/>
      <c r="C136" s="12"/>
      <c r="D136" s="12"/>
      <c r="E136" s="12"/>
      <c r="G136" s="66"/>
      <c r="H136" s="66"/>
      <c r="I136" s="14"/>
      <c r="J136" s="14"/>
      <c r="K136" s="15"/>
      <c r="P136" s="15"/>
      <c r="R136" s="16"/>
    </row>
    <row r="137" ht="15.75" customHeight="1">
      <c r="B137" s="12"/>
      <c r="C137" s="12"/>
      <c r="D137" s="12"/>
      <c r="E137" s="12"/>
      <c r="G137" s="66"/>
      <c r="H137" s="66"/>
      <c r="I137" s="14"/>
      <c r="J137" s="14"/>
      <c r="K137" s="15"/>
      <c r="P137" s="15"/>
      <c r="R137" s="16"/>
    </row>
    <row r="138" ht="15.75" customHeight="1">
      <c r="B138" s="12"/>
      <c r="C138" s="12"/>
      <c r="D138" s="12"/>
      <c r="E138" s="12"/>
      <c r="G138" s="66"/>
      <c r="H138" s="66"/>
      <c r="I138" s="14"/>
      <c r="J138" s="14"/>
      <c r="K138" s="15"/>
      <c r="P138" s="15"/>
      <c r="R138" s="16"/>
    </row>
    <row r="139" ht="15.75" customHeight="1">
      <c r="B139" s="12"/>
      <c r="C139" s="12"/>
      <c r="D139" s="12"/>
      <c r="E139" s="12"/>
      <c r="G139" s="66"/>
      <c r="H139" s="66"/>
      <c r="I139" s="14"/>
      <c r="J139" s="14"/>
      <c r="K139" s="15"/>
      <c r="P139" s="15"/>
      <c r="R139" s="16"/>
    </row>
    <row r="140" ht="15.75" customHeight="1">
      <c r="B140" s="12"/>
      <c r="C140" s="12"/>
      <c r="D140" s="12"/>
      <c r="E140" s="12"/>
      <c r="G140" s="66"/>
      <c r="H140" s="66"/>
      <c r="I140" s="14"/>
      <c r="J140" s="14"/>
      <c r="K140" s="15"/>
      <c r="P140" s="15"/>
      <c r="R140" s="16"/>
    </row>
    <row r="141" ht="15.75" customHeight="1">
      <c r="B141" s="12"/>
      <c r="C141" s="12"/>
      <c r="D141" s="12"/>
      <c r="E141" s="12"/>
      <c r="G141" s="66"/>
      <c r="H141" s="66"/>
      <c r="I141" s="14"/>
      <c r="J141" s="14"/>
      <c r="K141" s="15"/>
      <c r="P141" s="15"/>
      <c r="R141" s="16"/>
    </row>
    <row r="142" ht="15.75" customHeight="1">
      <c r="B142" s="12"/>
      <c r="C142" s="12"/>
      <c r="D142" s="12"/>
      <c r="E142" s="12"/>
      <c r="G142" s="66"/>
      <c r="H142" s="66"/>
      <c r="I142" s="14"/>
      <c r="J142" s="14"/>
      <c r="K142" s="15"/>
      <c r="P142" s="15"/>
      <c r="R142" s="16"/>
    </row>
    <row r="143" ht="15.75" customHeight="1">
      <c r="B143" s="12"/>
      <c r="C143" s="12"/>
      <c r="D143" s="12"/>
      <c r="E143" s="12"/>
      <c r="G143" s="66"/>
      <c r="H143" s="66"/>
      <c r="I143" s="14"/>
      <c r="J143" s="14"/>
      <c r="K143" s="15"/>
      <c r="P143" s="15"/>
      <c r="R143" s="16"/>
    </row>
    <row r="144" ht="15.75" customHeight="1">
      <c r="B144" s="12"/>
      <c r="C144" s="12"/>
      <c r="D144" s="12"/>
      <c r="E144" s="12"/>
      <c r="G144" s="66"/>
      <c r="H144" s="66"/>
      <c r="I144" s="14"/>
      <c r="J144" s="14"/>
      <c r="K144" s="15"/>
      <c r="P144" s="15"/>
      <c r="R144" s="16"/>
    </row>
    <row r="145" ht="15.75" customHeight="1">
      <c r="B145" s="12"/>
      <c r="C145" s="12"/>
      <c r="D145" s="12"/>
      <c r="E145" s="12"/>
      <c r="G145" s="66"/>
      <c r="H145" s="66"/>
      <c r="I145" s="14"/>
      <c r="J145" s="14"/>
      <c r="K145" s="15"/>
      <c r="P145" s="15"/>
      <c r="R145" s="16"/>
    </row>
    <row r="146" ht="15.75" customHeight="1">
      <c r="B146" s="12"/>
      <c r="C146" s="12"/>
      <c r="D146" s="12"/>
      <c r="E146" s="12"/>
      <c r="G146" s="66"/>
      <c r="H146" s="66"/>
      <c r="I146" s="14"/>
      <c r="J146" s="14"/>
      <c r="K146" s="15"/>
      <c r="P146" s="15"/>
      <c r="R146" s="16"/>
    </row>
    <row r="147" ht="15.75" customHeight="1">
      <c r="B147" s="12"/>
      <c r="C147" s="12"/>
      <c r="D147" s="12"/>
      <c r="E147" s="12"/>
      <c r="G147" s="66"/>
      <c r="H147" s="66"/>
      <c r="I147" s="14"/>
      <c r="J147" s="14"/>
      <c r="K147" s="15"/>
      <c r="P147" s="15"/>
      <c r="R147" s="16"/>
    </row>
    <row r="148" ht="15.75" customHeight="1">
      <c r="B148" s="12"/>
      <c r="C148" s="12"/>
      <c r="D148" s="12"/>
      <c r="E148" s="12"/>
      <c r="G148" s="66"/>
      <c r="H148" s="66"/>
      <c r="I148" s="14"/>
      <c r="J148" s="14"/>
      <c r="K148" s="15"/>
      <c r="P148" s="15"/>
      <c r="R148" s="16"/>
    </row>
    <row r="149" ht="15.75" customHeight="1">
      <c r="B149" s="12"/>
      <c r="C149" s="12"/>
      <c r="D149" s="12"/>
      <c r="E149" s="12"/>
      <c r="G149" s="66"/>
      <c r="H149" s="66"/>
      <c r="I149" s="14"/>
      <c r="J149" s="14"/>
      <c r="K149" s="15"/>
      <c r="P149" s="15"/>
      <c r="R149" s="16"/>
    </row>
    <row r="150" ht="15.75" customHeight="1">
      <c r="B150" s="12"/>
      <c r="C150" s="12"/>
      <c r="D150" s="12"/>
      <c r="E150" s="12"/>
      <c r="G150" s="66"/>
      <c r="H150" s="66"/>
      <c r="I150" s="14"/>
      <c r="J150" s="14"/>
      <c r="K150" s="15"/>
      <c r="P150" s="15"/>
      <c r="R150" s="16"/>
    </row>
    <row r="151" ht="15.75" customHeight="1">
      <c r="B151" s="12"/>
      <c r="C151" s="12"/>
      <c r="D151" s="12"/>
      <c r="E151" s="12"/>
      <c r="G151" s="66"/>
      <c r="H151" s="66"/>
      <c r="I151" s="14"/>
      <c r="J151" s="14"/>
      <c r="K151" s="15"/>
      <c r="P151" s="15"/>
      <c r="R151" s="16"/>
    </row>
    <row r="152" ht="15.75" customHeight="1">
      <c r="B152" s="12"/>
      <c r="C152" s="12"/>
      <c r="D152" s="12"/>
      <c r="E152" s="12"/>
      <c r="G152" s="66"/>
      <c r="H152" s="66"/>
      <c r="I152" s="14"/>
      <c r="J152" s="14"/>
      <c r="K152" s="15"/>
      <c r="P152" s="15"/>
      <c r="R152" s="16"/>
    </row>
    <row r="153" ht="15.75" customHeight="1">
      <c r="B153" s="12"/>
      <c r="C153" s="12"/>
      <c r="D153" s="12"/>
      <c r="E153" s="12"/>
      <c r="G153" s="66"/>
      <c r="H153" s="66"/>
      <c r="I153" s="14"/>
      <c r="J153" s="14"/>
      <c r="K153" s="15"/>
      <c r="P153" s="15"/>
      <c r="R153" s="16"/>
    </row>
    <row r="154" ht="15.75" customHeight="1">
      <c r="B154" s="12"/>
      <c r="C154" s="12"/>
      <c r="D154" s="12"/>
      <c r="E154" s="12"/>
      <c r="G154" s="66"/>
      <c r="H154" s="66"/>
      <c r="I154" s="14"/>
      <c r="J154" s="14"/>
      <c r="K154" s="15"/>
      <c r="P154" s="15"/>
      <c r="R154" s="16"/>
    </row>
    <row r="155" ht="15.75" customHeight="1">
      <c r="B155" s="12"/>
      <c r="C155" s="12"/>
      <c r="D155" s="12"/>
      <c r="E155" s="12"/>
      <c r="G155" s="66"/>
      <c r="H155" s="66"/>
      <c r="I155" s="14"/>
      <c r="J155" s="14"/>
      <c r="K155" s="15"/>
      <c r="P155" s="15"/>
      <c r="R155" s="16"/>
    </row>
    <row r="156" ht="15.75" customHeight="1">
      <c r="B156" s="12"/>
      <c r="C156" s="12"/>
      <c r="D156" s="12"/>
      <c r="E156" s="12"/>
      <c r="G156" s="66"/>
      <c r="H156" s="66"/>
      <c r="I156" s="14"/>
      <c r="J156" s="14"/>
      <c r="K156" s="15"/>
      <c r="P156" s="15"/>
      <c r="R156" s="16"/>
    </row>
    <row r="157" ht="15.75" customHeight="1">
      <c r="B157" s="12"/>
      <c r="C157" s="12"/>
      <c r="D157" s="12"/>
      <c r="E157" s="12"/>
      <c r="G157" s="66"/>
      <c r="H157" s="66"/>
      <c r="I157" s="14"/>
      <c r="J157" s="14"/>
      <c r="K157" s="15"/>
      <c r="P157" s="15"/>
      <c r="R157" s="16"/>
    </row>
    <row r="158" ht="15.75" customHeight="1">
      <c r="B158" s="12"/>
      <c r="C158" s="12"/>
      <c r="D158" s="12"/>
      <c r="E158" s="12"/>
      <c r="G158" s="66"/>
      <c r="H158" s="66"/>
      <c r="I158" s="14"/>
      <c r="J158" s="14"/>
      <c r="K158" s="15"/>
      <c r="P158" s="15"/>
      <c r="R158" s="16"/>
    </row>
    <row r="159" ht="15.75" customHeight="1">
      <c r="B159" s="12"/>
      <c r="C159" s="12"/>
      <c r="D159" s="12"/>
      <c r="E159" s="12"/>
      <c r="G159" s="66"/>
      <c r="H159" s="66"/>
      <c r="I159" s="14"/>
      <c r="J159" s="14"/>
      <c r="K159" s="15"/>
      <c r="P159" s="15"/>
      <c r="R159" s="16"/>
    </row>
    <row r="160" ht="15.75" customHeight="1">
      <c r="B160" s="12"/>
      <c r="C160" s="12"/>
      <c r="D160" s="12"/>
      <c r="E160" s="12"/>
      <c r="G160" s="66"/>
      <c r="H160" s="66"/>
      <c r="I160" s="14"/>
      <c r="J160" s="14"/>
      <c r="K160" s="15"/>
      <c r="P160" s="15"/>
      <c r="R160" s="16"/>
    </row>
    <row r="161" ht="15.75" customHeight="1">
      <c r="B161" s="12"/>
      <c r="C161" s="12"/>
      <c r="D161" s="12"/>
      <c r="E161" s="12"/>
      <c r="G161" s="66"/>
      <c r="H161" s="66"/>
      <c r="I161" s="14"/>
      <c r="J161" s="14"/>
      <c r="K161" s="15"/>
      <c r="P161" s="15"/>
      <c r="R161" s="16"/>
    </row>
    <row r="162" ht="15.75" customHeight="1">
      <c r="B162" s="12"/>
      <c r="C162" s="12"/>
      <c r="D162" s="12"/>
      <c r="E162" s="12"/>
      <c r="G162" s="66"/>
      <c r="H162" s="66"/>
      <c r="I162" s="14"/>
      <c r="J162" s="14"/>
      <c r="K162" s="15"/>
      <c r="P162" s="15"/>
      <c r="R162" s="16"/>
    </row>
    <row r="163" ht="15.75" customHeight="1">
      <c r="B163" s="12"/>
      <c r="C163" s="12"/>
      <c r="D163" s="12"/>
      <c r="E163" s="12"/>
      <c r="G163" s="66"/>
      <c r="H163" s="66"/>
      <c r="I163" s="14"/>
      <c r="J163" s="14"/>
      <c r="K163" s="15"/>
      <c r="P163" s="15"/>
      <c r="R163" s="16"/>
    </row>
    <row r="164" ht="15.75" customHeight="1">
      <c r="B164" s="12"/>
      <c r="C164" s="12"/>
      <c r="D164" s="12"/>
      <c r="E164" s="12"/>
      <c r="G164" s="66"/>
      <c r="H164" s="66"/>
      <c r="I164" s="14"/>
      <c r="J164" s="14"/>
      <c r="K164" s="15"/>
      <c r="P164" s="15"/>
      <c r="R164" s="16"/>
    </row>
    <row r="165" ht="15.75" customHeight="1">
      <c r="B165" s="12"/>
      <c r="C165" s="12"/>
      <c r="D165" s="12"/>
      <c r="E165" s="12"/>
      <c r="G165" s="66"/>
      <c r="H165" s="66"/>
      <c r="I165" s="14"/>
      <c r="J165" s="14"/>
      <c r="K165" s="15"/>
      <c r="P165" s="15"/>
      <c r="R165" s="16"/>
    </row>
    <row r="166" ht="15.75" customHeight="1">
      <c r="B166" s="12"/>
      <c r="C166" s="12"/>
      <c r="D166" s="12"/>
      <c r="E166" s="12"/>
      <c r="G166" s="66"/>
      <c r="H166" s="66"/>
      <c r="I166" s="14"/>
      <c r="J166" s="14"/>
      <c r="K166" s="15"/>
      <c r="P166" s="15"/>
      <c r="R166" s="16"/>
    </row>
    <row r="167" ht="15.75" customHeight="1">
      <c r="B167" s="12"/>
      <c r="C167" s="12"/>
      <c r="D167" s="12"/>
      <c r="E167" s="12"/>
      <c r="G167" s="66"/>
      <c r="H167" s="66"/>
      <c r="I167" s="14"/>
      <c r="J167" s="14"/>
      <c r="K167" s="15"/>
      <c r="P167" s="15"/>
      <c r="R167" s="16"/>
    </row>
    <row r="168" ht="15.75" customHeight="1">
      <c r="B168" s="12"/>
      <c r="C168" s="12"/>
      <c r="D168" s="12"/>
      <c r="E168" s="12"/>
      <c r="G168" s="66"/>
      <c r="H168" s="66"/>
      <c r="I168" s="14"/>
      <c r="J168" s="14"/>
      <c r="K168" s="15"/>
      <c r="P168" s="15"/>
      <c r="R168" s="16"/>
    </row>
    <row r="169" ht="15.75" customHeight="1">
      <c r="B169" s="12"/>
      <c r="C169" s="12"/>
      <c r="D169" s="12"/>
      <c r="E169" s="12"/>
      <c r="G169" s="66"/>
      <c r="H169" s="66"/>
      <c r="I169" s="14"/>
      <c r="J169" s="14"/>
      <c r="K169" s="15"/>
      <c r="P169" s="15"/>
      <c r="R169" s="16"/>
    </row>
    <row r="170" ht="15.75" customHeight="1">
      <c r="B170" s="12"/>
      <c r="C170" s="12"/>
      <c r="D170" s="12"/>
      <c r="E170" s="12"/>
      <c r="G170" s="66"/>
      <c r="H170" s="66"/>
      <c r="I170" s="14"/>
      <c r="J170" s="14"/>
      <c r="K170" s="15"/>
      <c r="P170" s="15"/>
      <c r="R170" s="16"/>
    </row>
    <row r="171" ht="15.75" customHeight="1">
      <c r="B171" s="12"/>
      <c r="C171" s="12"/>
      <c r="D171" s="12"/>
      <c r="E171" s="12"/>
      <c r="G171" s="66"/>
      <c r="H171" s="66"/>
      <c r="I171" s="14"/>
      <c r="J171" s="14"/>
      <c r="K171" s="15"/>
      <c r="P171" s="15"/>
      <c r="R171" s="16"/>
    </row>
    <row r="172" ht="15.75" customHeight="1">
      <c r="B172" s="12"/>
      <c r="C172" s="12"/>
      <c r="D172" s="12"/>
      <c r="E172" s="12"/>
      <c r="G172" s="66"/>
      <c r="H172" s="66"/>
      <c r="I172" s="14"/>
      <c r="J172" s="14"/>
      <c r="K172" s="15"/>
      <c r="P172" s="15"/>
      <c r="R172" s="16"/>
    </row>
    <row r="173" ht="15.75" customHeight="1">
      <c r="B173" s="12"/>
      <c r="C173" s="12"/>
      <c r="D173" s="12"/>
      <c r="E173" s="12"/>
      <c r="G173" s="66"/>
      <c r="H173" s="66"/>
      <c r="I173" s="14"/>
      <c r="J173" s="14"/>
      <c r="K173" s="15"/>
      <c r="P173" s="15"/>
      <c r="R173" s="16"/>
    </row>
    <row r="174" ht="15.75" customHeight="1">
      <c r="B174" s="12"/>
      <c r="C174" s="12"/>
      <c r="D174" s="12"/>
      <c r="E174" s="12"/>
      <c r="G174" s="66"/>
      <c r="H174" s="66"/>
      <c r="I174" s="14"/>
      <c r="J174" s="14"/>
      <c r="K174" s="15"/>
      <c r="P174" s="15"/>
      <c r="R174" s="16"/>
    </row>
    <row r="175" ht="15.75" customHeight="1">
      <c r="B175" s="12"/>
      <c r="C175" s="12"/>
      <c r="D175" s="12"/>
      <c r="E175" s="12"/>
      <c r="G175" s="66"/>
      <c r="H175" s="66"/>
      <c r="I175" s="14"/>
      <c r="J175" s="14"/>
      <c r="K175" s="15"/>
      <c r="P175" s="15"/>
      <c r="R175" s="16"/>
    </row>
    <row r="176" ht="15.75" customHeight="1">
      <c r="B176" s="12"/>
      <c r="C176" s="12"/>
      <c r="D176" s="12"/>
      <c r="E176" s="12"/>
      <c r="G176" s="66"/>
      <c r="H176" s="66"/>
      <c r="I176" s="14"/>
      <c r="J176" s="14"/>
      <c r="K176" s="15"/>
      <c r="P176" s="15"/>
      <c r="R176" s="16"/>
    </row>
    <row r="177" ht="15.75" customHeight="1">
      <c r="B177" s="12"/>
      <c r="C177" s="12"/>
      <c r="D177" s="12"/>
      <c r="E177" s="12"/>
      <c r="G177" s="66"/>
      <c r="H177" s="66"/>
      <c r="I177" s="14"/>
      <c r="J177" s="14"/>
      <c r="K177" s="15"/>
      <c r="P177" s="15"/>
      <c r="R177" s="16"/>
    </row>
    <row r="178" ht="15.75" customHeight="1">
      <c r="B178" s="12"/>
      <c r="C178" s="12"/>
      <c r="D178" s="12"/>
      <c r="E178" s="12"/>
      <c r="G178" s="66"/>
      <c r="H178" s="66"/>
      <c r="I178" s="14"/>
      <c r="J178" s="14"/>
      <c r="K178" s="15"/>
      <c r="P178" s="15"/>
      <c r="R178" s="16"/>
    </row>
    <row r="179" ht="15.75" customHeight="1">
      <c r="B179" s="12"/>
      <c r="C179" s="12"/>
      <c r="D179" s="12"/>
      <c r="E179" s="12"/>
      <c r="G179" s="66"/>
      <c r="H179" s="66"/>
      <c r="I179" s="14"/>
      <c r="J179" s="14"/>
      <c r="K179" s="15"/>
      <c r="P179" s="15"/>
      <c r="R179" s="16"/>
    </row>
    <row r="180" ht="15.75" customHeight="1">
      <c r="B180" s="12"/>
      <c r="C180" s="12"/>
      <c r="D180" s="12"/>
      <c r="E180" s="12"/>
      <c r="G180" s="66"/>
      <c r="H180" s="66"/>
      <c r="I180" s="14"/>
      <c r="J180" s="14"/>
      <c r="K180" s="15"/>
      <c r="P180" s="15"/>
      <c r="R180" s="16"/>
    </row>
    <row r="181" ht="15.75" customHeight="1">
      <c r="B181" s="12"/>
      <c r="C181" s="12"/>
      <c r="D181" s="12"/>
      <c r="E181" s="12"/>
      <c r="G181" s="66"/>
      <c r="H181" s="66"/>
      <c r="I181" s="14"/>
      <c r="J181" s="14"/>
      <c r="K181" s="15"/>
      <c r="P181" s="15"/>
      <c r="R181" s="16"/>
    </row>
    <row r="182" ht="15.75" customHeight="1">
      <c r="B182" s="12"/>
      <c r="C182" s="12"/>
      <c r="D182" s="12"/>
      <c r="E182" s="12"/>
      <c r="G182" s="66"/>
      <c r="H182" s="66"/>
      <c r="I182" s="14"/>
      <c r="J182" s="14"/>
      <c r="K182" s="15"/>
      <c r="P182" s="15"/>
      <c r="R182" s="16"/>
    </row>
    <row r="183" ht="15.75" customHeight="1">
      <c r="B183" s="12"/>
      <c r="C183" s="12"/>
      <c r="D183" s="12"/>
      <c r="E183" s="12"/>
      <c r="G183" s="66"/>
      <c r="H183" s="66"/>
      <c r="I183" s="14"/>
      <c r="J183" s="14"/>
      <c r="K183" s="15"/>
      <c r="P183" s="15"/>
      <c r="R183" s="16"/>
    </row>
    <row r="184" ht="15.75" customHeight="1">
      <c r="B184" s="12"/>
      <c r="C184" s="12"/>
      <c r="D184" s="12"/>
      <c r="E184" s="12"/>
      <c r="G184" s="66"/>
      <c r="H184" s="66"/>
      <c r="I184" s="14"/>
      <c r="J184" s="14"/>
      <c r="K184" s="15"/>
      <c r="P184" s="15"/>
      <c r="R184" s="16"/>
    </row>
    <row r="185" ht="15.75" customHeight="1">
      <c r="B185" s="12"/>
      <c r="C185" s="12"/>
      <c r="D185" s="12"/>
      <c r="E185" s="12"/>
      <c r="G185" s="66"/>
      <c r="H185" s="66"/>
      <c r="I185" s="14"/>
      <c r="J185" s="14"/>
      <c r="K185" s="15"/>
      <c r="P185" s="15"/>
      <c r="R185" s="16"/>
    </row>
    <row r="186" ht="15.75" customHeight="1">
      <c r="B186" s="12"/>
      <c r="C186" s="12"/>
      <c r="D186" s="12"/>
      <c r="E186" s="12"/>
      <c r="G186" s="66"/>
      <c r="H186" s="66"/>
      <c r="I186" s="14"/>
      <c r="J186" s="14"/>
      <c r="K186" s="15"/>
      <c r="P186" s="15"/>
      <c r="R186" s="16"/>
    </row>
    <row r="187" ht="15.75" customHeight="1">
      <c r="B187" s="12"/>
      <c r="C187" s="12"/>
      <c r="D187" s="12"/>
      <c r="E187" s="12"/>
      <c r="G187" s="66"/>
      <c r="H187" s="66"/>
      <c r="I187" s="14"/>
      <c r="J187" s="14"/>
      <c r="K187" s="15"/>
      <c r="P187" s="15"/>
      <c r="R187" s="16"/>
    </row>
    <row r="188" ht="15.75" customHeight="1">
      <c r="B188" s="12"/>
      <c r="C188" s="12"/>
      <c r="D188" s="12"/>
      <c r="E188" s="12"/>
      <c r="G188" s="66"/>
      <c r="H188" s="66"/>
      <c r="I188" s="14"/>
      <c r="J188" s="14"/>
      <c r="K188" s="15"/>
      <c r="P188" s="15"/>
      <c r="R188" s="16"/>
    </row>
    <row r="189" ht="15.75" customHeight="1">
      <c r="B189" s="12"/>
      <c r="C189" s="12"/>
      <c r="D189" s="12"/>
      <c r="E189" s="12"/>
      <c r="G189" s="66"/>
      <c r="H189" s="66"/>
      <c r="I189" s="14"/>
      <c r="J189" s="14"/>
      <c r="K189" s="15"/>
      <c r="P189" s="15"/>
      <c r="R189" s="16"/>
    </row>
    <row r="190" ht="15.75" customHeight="1">
      <c r="B190" s="12"/>
      <c r="C190" s="12"/>
      <c r="D190" s="12"/>
      <c r="E190" s="12"/>
      <c r="G190" s="66"/>
      <c r="H190" s="66"/>
      <c r="I190" s="14"/>
      <c r="J190" s="14"/>
      <c r="K190" s="15"/>
      <c r="P190" s="15"/>
      <c r="R190" s="16"/>
    </row>
    <row r="191" ht="15.75" customHeight="1">
      <c r="B191" s="12"/>
      <c r="C191" s="12"/>
      <c r="D191" s="12"/>
      <c r="E191" s="12"/>
      <c r="G191" s="66"/>
      <c r="H191" s="66"/>
      <c r="I191" s="14"/>
      <c r="J191" s="14"/>
      <c r="K191" s="15"/>
      <c r="P191" s="15"/>
      <c r="R191" s="16"/>
    </row>
    <row r="192" ht="15.75" customHeight="1">
      <c r="B192" s="12"/>
      <c r="C192" s="12"/>
      <c r="D192" s="12"/>
      <c r="E192" s="12"/>
      <c r="G192" s="66"/>
      <c r="H192" s="66"/>
      <c r="I192" s="14"/>
      <c r="J192" s="14"/>
      <c r="K192" s="15"/>
      <c r="P192" s="15"/>
      <c r="R192" s="16"/>
    </row>
    <row r="193" ht="15.75" customHeight="1">
      <c r="B193" s="12"/>
      <c r="C193" s="12"/>
      <c r="D193" s="12"/>
      <c r="E193" s="12"/>
      <c r="G193" s="66"/>
      <c r="H193" s="66"/>
      <c r="I193" s="14"/>
      <c r="J193" s="14"/>
      <c r="K193" s="15"/>
      <c r="P193" s="15"/>
      <c r="R193" s="16"/>
    </row>
    <row r="194" ht="15.75" customHeight="1">
      <c r="B194" s="12"/>
      <c r="C194" s="12"/>
      <c r="D194" s="12"/>
      <c r="E194" s="12"/>
      <c r="G194" s="66"/>
      <c r="H194" s="66"/>
      <c r="I194" s="14"/>
      <c r="J194" s="14"/>
      <c r="K194" s="15"/>
      <c r="P194" s="15"/>
      <c r="R194" s="16"/>
    </row>
    <row r="195" ht="15.75" customHeight="1">
      <c r="B195" s="12"/>
      <c r="C195" s="12"/>
      <c r="D195" s="12"/>
      <c r="E195" s="12"/>
      <c r="G195" s="66"/>
      <c r="H195" s="66"/>
      <c r="I195" s="14"/>
      <c r="J195" s="14"/>
      <c r="K195" s="15"/>
      <c r="P195" s="15"/>
      <c r="R195" s="16"/>
    </row>
    <row r="196" ht="15.75" customHeight="1">
      <c r="B196" s="12"/>
      <c r="C196" s="12"/>
      <c r="D196" s="12"/>
      <c r="E196" s="12"/>
      <c r="G196" s="66"/>
      <c r="H196" s="66"/>
      <c r="I196" s="14"/>
      <c r="J196" s="14"/>
      <c r="K196" s="15"/>
      <c r="P196" s="15"/>
      <c r="R196" s="16"/>
    </row>
    <row r="197" ht="15.75" customHeight="1">
      <c r="B197" s="12"/>
      <c r="C197" s="12"/>
      <c r="D197" s="12"/>
      <c r="E197" s="12"/>
      <c r="G197" s="66"/>
      <c r="H197" s="66"/>
      <c r="I197" s="14"/>
      <c r="J197" s="14"/>
      <c r="K197" s="15"/>
      <c r="P197" s="15"/>
      <c r="R197" s="16"/>
    </row>
    <row r="198" ht="15.75" customHeight="1">
      <c r="B198" s="12"/>
      <c r="C198" s="12"/>
      <c r="D198" s="12"/>
      <c r="E198" s="12"/>
      <c r="G198" s="66"/>
      <c r="H198" s="66"/>
      <c r="I198" s="14"/>
      <c r="J198" s="14"/>
      <c r="K198" s="15"/>
      <c r="P198" s="15"/>
      <c r="R198" s="16"/>
    </row>
    <row r="199" ht="15.75" customHeight="1">
      <c r="B199" s="12"/>
      <c r="C199" s="12"/>
      <c r="D199" s="12"/>
      <c r="E199" s="12"/>
      <c r="G199" s="66"/>
      <c r="H199" s="66"/>
      <c r="I199" s="14"/>
      <c r="J199" s="14"/>
      <c r="K199" s="15"/>
      <c r="P199" s="15"/>
      <c r="R199" s="16"/>
    </row>
    <row r="200" ht="15.75" customHeight="1">
      <c r="B200" s="12"/>
      <c r="C200" s="12"/>
      <c r="D200" s="12"/>
      <c r="E200" s="12"/>
      <c r="G200" s="66"/>
      <c r="H200" s="66"/>
      <c r="I200" s="14"/>
      <c r="J200" s="14"/>
      <c r="K200" s="15"/>
      <c r="P200" s="15"/>
      <c r="R200" s="16"/>
    </row>
    <row r="201" ht="15.75" customHeight="1">
      <c r="B201" s="12"/>
      <c r="C201" s="12"/>
      <c r="D201" s="12"/>
      <c r="E201" s="12"/>
      <c r="G201" s="66"/>
      <c r="H201" s="66"/>
      <c r="I201" s="14"/>
      <c r="J201" s="14"/>
      <c r="K201" s="15"/>
      <c r="P201" s="15"/>
      <c r="R201" s="16"/>
    </row>
    <row r="202" ht="15.75" customHeight="1">
      <c r="B202" s="12"/>
      <c r="C202" s="12"/>
      <c r="D202" s="12"/>
      <c r="E202" s="12"/>
      <c r="G202" s="66"/>
      <c r="H202" s="66"/>
      <c r="I202" s="14"/>
      <c r="J202" s="14"/>
      <c r="K202" s="15"/>
      <c r="P202" s="15"/>
      <c r="R202" s="16"/>
    </row>
    <row r="203" ht="15.75" customHeight="1">
      <c r="B203" s="12"/>
      <c r="C203" s="12"/>
      <c r="D203" s="12"/>
      <c r="E203" s="12"/>
      <c r="G203" s="66"/>
      <c r="H203" s="66"/>
      <c r="I203" s="14"/>
      <c r="J203" s="14"/>
      <c r="K203" s="15"/>
      <c r="P203" s="15"/>
      <c r="R203" s="16"/>
    </row>
    <row r="204" ht="15.75" customHeight="1">
      <c r="B204" s="12"/>
      <c r="C204" s="12"/>
      <c r="D204" s="12"/>
      <c r="E204" s="12"/>
      <c r="G204" s="66"/>
      <c r="H204" s="66"/>
      <c r="I204" s="14"/>
      <c r="J204" s="14"/>
      <c r="K204" s="15"/>
      <c r="P204" s="15"/>
      <c r="R204" s="16"/>
    </row>
    <row r="205" ht="15.75" customHeight="1">
      <c r="B205" s="12"/>
      <c r="C205" s="12"/>
      <c r="D205" s="12"/>
      <c r="E205" s="12"/>
      <c r="G205" s="66"/>
      <c r="H205" s="66"/>
      <c r="I205" s="14"/>
      <c r="J205" s="14"/>
      <c r="K205" s="15"/>
      <c r="P205" s="15"/>
      <c r="R205" s="16"/>
    </row>
    <row r="206" ht="15.75" customHeight="1">
      <c r="B206" s="12"/>
      <c r="C206" s="12"/>
      <c r="D206" s="12"/>
      <c r="E206" s="12"/>
      <c r="I206" s="14"/>
      <c r="J206" s="14"/>
      <c r="K206" s="15"/>
      <c r="P206" s="15"/>
      <c r="R206" s="16"/>
    </row>
    <row r="207" ht="15.75" customHeight="1">
      <c r="B207" s="12"/>
      <c r="C207" s="12"/>
      <c r="D207" s="12"/>
      <c r="E207" s="12"/>
      <c r="I207" s="14"/>
      <c r="J207" s="14"/>
      <c r="K207" s="15"/>
      <c r="P207" s="15"/>
      <c r="R207" s="16"/>
    </row>
    <row r="208" ht="15.75" customHeight="1">
      <c r="B208" s="12"/>
      <c r="C208" s="12"/>
      <c r="D208" s="12"/>
      <c r="E208" s="12"/>
      <c r="I208" s="14"/>
      <c r="J208" s="14"/>
      <c r="K208" s="15"/>
      <c r="P208" s="15"/>
      <c r="R208" s="16"/>
    </row>
    <row r="209" ht="15.75" customHeight="1">
      <c r="B209" s="12"/>
      <c r="C209" s="12"/>
      <c r="D209" s="12"/>
      <c r="E209" s="12"/>
      <c r="I209" s="14"/>
      <c r="J209" s="14"/>
      <c r="K209" s="15"/>
      <c r="P209" s="15"/>
      <c r="R209" s="16"/>
    </row>
    <row r="210" ht="15.75" customHeight="1">
      <c r="B210" s="12"/>
      <c r="C210" s="12"/>
      <c r="D210" s="12"/>
      <c r="E210" s="12"/>
      <c r="I210" s="14"/>
      <c r="J210" s="14"/>
      <c r="K210" s="15"/>
      <c r="P210" s="15"/>
      <c r="R210" s="16"/>
    </row>
    <row r="211" ht="15.75" customHeight="1">
      <c r="B211" s="12"/>
      <c r="C211" s="12"/>
      <c r="D211" s="12"/>
      <c r="E211" s="12"/>
      <c r="I211" s="14"/>
      <c r="J211" s="14"/>
      <c r="K211" s="15"/>
      <c r="P211" s="15"/>
      <c r="R211" s="16"/>
    </row>
    <row r="212" ht="15.75" customHeight="1">
      <c r="B212" s="12"/>
      <c r="C212" s="12"/>
      <c r="D212" s="12"/>
      <c r="E212" s="12"/>
      <c r="I212" s="14"/>
      <c r="J212" s="14"/>
      <c r="K212" s="15"/>
      <c r="P212" s="15"/>
      <c r="R212" s="16"/>
    </row>
    <row r="213" ht="15.75" customHeight="1">
      <c r="B213" s="12"/>
      <c r="C213" s="12"/>
      <c r="D213" s="12"/>
      <c r="E213" s="12"/>
      <c r="I213" s="14"/>
      <c r="J213" s="14"/>
      <c r="K213" s="15"/>
      <c r="P213" s="15"/>
      <c r="R213" s="16"/>
    </row>
    <row r="214" ht="15.75" customHeight="1">
      <c r="B214" s="12"/>
      <c r="C214" s="12"/>
      <c r="D214" s="12"/>
      <c r="E214" s="12"/>
      <c r="I214" s="14"/>
      <c r="J214" s="14"/>
      <c r="K214" s="15"/>
      <c r="P214" s="15"/>
      <c r="R214" s="16"/>
    </row>
    <row r="215" ht="15.75" customHeight="1">
      <c r="B215" s="12"/>
      <c r="C215" s="12"/>
      <c r="D215" s="12"/>
      <c r="E215" s="12"/>
      <c r="I215" s="14"/>
      <c r="J215" s="14"/>
      <c r="K215" s="15"/>
      <c r="P215" s="15"/>
      <c r="R215" s="16"/>
    </row>
    <row r="216" ht="15.75" customHeight="1">
      <c r="B216" s="12"/>
      <c r="C216" s="12"/>
      <c r="D216" s="12"/>
      <c r="E216" s="12"/>
      <c r="I216" s="14"/>
      <c r="J216" s="14"/>
      <c r="K216" s="15"/>
      <c r="P216" s="15"/>
      <c r="R216" s="16"/>
    </row>
    <row r="217" ht="15.75" customHeight="1">
      <c r="B217" s="12"/>
      <c r="C217" s="12"/>
      <c r="D217" s="12"/>
      <c r="E217" s="12"/>
      <c r="I217" s="14"/>
      <c r="J217" s="14"/>
      <c r="K217" s="15"/>
      <c r="P217" s="15"/>
      <c r="R217" s="16"/>
    </row>
    <row r="218" ht="15.75" customHeight="1">
      <c r="B218" s="12"/>
      <c r="C218" s="12"/>
      <c r="D218" s="12"/>
      <c r="E218" s="12"/>
      <c r="I218" s="14"/>
      <c r="J218" s="14"/>
      <c r="K218" s="15"/>
      <c r="P218" s="15"/>
      <c r="R218" s="16"/>
    </row>
    <row r="219" ht="15.75" customHeight="1">
      <c r="B219" s="12"/>
      <c r="C219" s="12"/>
      <c r="D219" s="12"/>
      <c r="E219" s="12"/>
      <c r="I219" s="14"/>
      <c r="J219" s="14"/>
      <c r="K219" s="15"/>
      <c r="P219" s="15"/>
      <c r="R219" s="16"/>
    </row>
    <row r="220" ht="15.75" customHeight="1">
      <c r="B220" s="12"/>
      <c r="C220" s="12"/>
      <c r="D220" s="12"/>
      <c r="E220" s="12"/>
      <c r="I220" s="14"/>
      <c r="J220" s="14"/>
      <c r="K220" s="15"/>
      <c r="P220" s="15"/>
      <c r="R220" s="16"/>
    </row>
    <row r="221" ht="15.75" customHeight="1">
      <c r="B221" s="12"/>
      <c r="C221" s="12"/>
      <c r="D221" s="12"/>
      <c r="E221" s="12"/>
      <c r="I221" s="14"/>
      <c r="J221" s="14"/>
      <c r="K221" s="15"/>
      <c r="P221" s="15"/>
      <c r="R221" s="16"/>
    </row>
    <row r="222" ht="15.75" customHeight="1">
      <c r="B222" s="12"/>
      <c r="C222" s="12"/>
      <c r="D222" s="12"/>
      <c r="E222" s="12"/>
      <c r="I222" s="14"/>
      <c r="J222" s="14"/>
      <c r="K222" s="15"/>
      <c r="P222" s="15"/>
      <c r="R222" s="16"/>
    </row>
    <row r="223" ht="15.75" customHeight="1">
      <c r="B223" s="12"/>
      <c r="C223" s="12"/>
      <c r="D223" s="12"/>
      <c r="E223" s="12"/>
      <c r="I223" s="14"/>
      <c r="J223" s="14"/>
      <c r="K223" s="15"/>
      <c r="P223" s="15"/>
      <c r="R223" s="16"/>
    </row>
    <row r="224" ht="15.75" customHeight="1">
      <c r="B224" s="12"/>
      <c r="C224" s="12"/>
      <c r="D224" s="12"/>
      <c r="E224" s="12"/>
      <c r="I224" s="14"/>
      <c r="J224" s="14"/>
      <c r="K224" s="15"/>
      <c r="P224" s="15"/>
      <c r="R224" s="16"/>
    </row>
    <row r="225" ht="15.75" customHeight="1">
      <c r="B225" s="12"/>
      <c r="C225" s="12"/>
      <c r="D225" s="12"/>
      <c r="E225" s="12"/>
      <c r="I225" s="14"/>
      <c r="J225" s="14"/>
      <c r="K225" s="15"/>
      <c r="P225" s="15"/>
      <c r="R225" s="16"/>
    </row>
    <row r="226" ht="15.75" customHeight="1">
      <c r="B226" s="12"/>
      <c r="C226" s="12"/>
      <c r="D226" s="12"/>
      <c r="E226" s="12"/>
      <c r="I226" s="14"/>
      <c r="J226" s="14"/>
      <c r="K226" s="15"/>
      <c r="P226" s="15"/>
      <c r="R226" s="16"/>
    </row>
    <row r="227" ht="15.75" customHeight="1">
      <c r="B227" s="12"/>
      <c r="C227" s="12"/>
      <c r="D227" s="12"/>
      <c r="E227" s="12"/>
      <c r="I227" s="14"/>
      <c r="J227" s="14"/>
      <c r="K227" s="15"/>
      <c r="P227" s="15"/>
      <c r="R227" s="16"/>
    </row>
    <row r="228" ht="15.75" customHeight="1">
      <c r="B228" s="12"/>
      <c r="C228" s="12"/>
      <c r="D228" s="12"/>
      <c r="E228" s="12"/>
      <c r="I228" s="14"/>
      <c r="J228" s="14"/>
      <c r="K228" s="15"/>
      <c r="P228" s="15"/>
      <c r="R228" s="16"/>
    </row>
    <row r="229" ht="15.75" customHeight="1">
      <c r="B229" s="12"/>
      <c r="C229" s="12"/>
      <c r="D229" s="12"/>
      <c r="E229" s="12"/>
      <c r="I229" s="14"/>
      <c r="J229" s="14"/>
      <c r="K229" s="15"/>
      <c r="P229" s="15"/>
      <c r="R229" s="16"/>
    </row>
    <row r="230" ht="15.75" customHeight="1">
      <c r="B230" s="12"/>
      <c r="C230" s="12"/>
      <c r="D230" s="12"/>
      <c r="E230" s="12"/>
      <c r="I230" s="14"/>
      <c r="J230" s="14"/>
      <c r="K230" s="15"/>
      <c r="P230" s="15"/>
      <c r="R230" s="16"/>
    </row>
    <row r="231" ht="15.75" customHeight="1">
      <c r="B231" s="12"/>
      <c r="C231" s="12"/>
      <c r="D231" s="12"/>
      <c r="E231" s="12"/>
      <c r="I231" s="14"/>
      <c r="J231" s="14"/>
      <c r="K231" s="15"/>
      <c r="P231" s="15"/>
      <c r="R231" s="16"/>
    </row>
    <row r="232" ht="15.75" customHeight="1">
      <c r="B232" s="12"/>
      <c r="C232" s="12"/>
      <c r="D232" s="12"/>
      <c r="E232" s="12"/>
      <c r="I232" s="14"/>
      <c r="J232" s="14"/>
      <c r="K232" s="15"/>
      <c r="P232" s="15"/>
      <c r="R232" s="16"/>
    </row>
    <row r="233" ht="15.75" customHeight="1">
      <c r="B233" s="12"/>
      <c r="C233" s="12"/>
      <c r="D233" s="12"/>
      <c r="E233" s="12"/>
      <c r="I233" s="14"/>
      <c r="J233" s="14"/>
      <c r="K233" s="15"/>
      <c r="P233" s="15"/>
      <c r="R233" s="16"/>
    </row>
    <row r="234" ht="15.75" customHeight="1">
      <c r="B234" s="12"/>
      <c r="C234" s="12"/>
      <c r="D234" s="12"/>
      <c r="E234" s="12"/>
      <c r="I234" s="14"/>
      <c r="J234" s="14"/>
      <c r="K234" s="15"/>
      <c r="P234" s="15"/>
      <c r="R234" s="16"/>
    </row>
    <row r="235" ht="15.75" customHeight="1">
      <c r="B235" s="12"/>
      <c r="C235" s="12"/>
      <c r="D235" s="12"/>
      <c r="E235" s="12"/>
      <c r="I235" s="14"/>
      <c r="J235" s="14"/>
      <c r="K235" s="15"/>
      <c r="P235" s="15"/>
      <c r="R235" s="16"/>
    </row>
    <row r="236" ht="15.75" customHeight="1">
      <c r="B236" s="12"/>
      <c r="C236" s="12"/>
      <c r="D236" s="12"/>
      <c r="E236" s="12"/>
      <c r="I236" s="14"/>
      <c r="J236" s="14"/>
      <c r="K236" s="15"/>
      <c r="P236" s="15"/>
      <c r="R236" s="16"/>
    </row>
    <row r="237" ht="15.75" customHeight="1">
      <c r="B237" s="12"/>
      <c r="C237" s="12"/>
      <c r="D237" s="12"/>
      <c r="E237" s="12"/>
      <c r="I237" s="14"/>
      <c r="J237" s="14"/>
      <c r="K237" s="15"/>
      <c r="P237" s="15"/>
      <c r="R237" s="16"/>
    </row>
    <row r="238" ht="15.75" customHeight="1">
      <c r="B238" s="12"/>
      <c r="C238" s="12"/>
      <c r="D238" s="12"/>
      <c r="E238" s="12"/>
      <c r="I238" s="14"/>
      <c r="J238" s="14"/>
      <c r="K238" s="15"/>
      <c r="P238" s="15"/>
      <c r="R238" s="16"/>
    </row>
    <row r="239" ht="15.75" customHeight="1">
      <c r="B239" s="12"/>
      <c r="C239" s="12"/>
      <c r="D239" s="12"/>
      <c r="E239" s="12"/>
      <c r="I239" s="14"/>
      <c r="J239" s="14"/>
      <c r="K239" s="15"/>
      <c r="P239" s="15"/>
      <c r="R239" s="16"/>
    </row>
    <row r="240" ht="15.75" customHeight="1">
      <c r="B240" s="12"/>
      <c r="C240" s="12"/>
      <c r="D240" s="12"/>
      <c r="E240" s="12"/>
      <c r="I240" s="14"/>
      <c r="J240" s="14"/>
      <c r="K240" s="15"/>
      <c r="P240" s="15"/>
      <c r="R240" s="16"/>
    </row>
    <row r="241" ht="15.75" customHeight="1">
      <c r="B241" s="12"/>
      <c r="C241" s="12"/>
      <c r="D241" s="12"/>
      <c r="E241" s="12"/>
      <c r="I241" s="14"/>
      <c r="J241" s="14"/>
      <c r="K241" s="15"/>
      <c r="P241" s="15"/>
      <c r="R241" s="16"/>
    </row>
    <row r="242" ht="15.75" customHeight="1">
      <c r="B242" s="12"/>
      <c r="C242" s="12"/>
      <c r="D242" s="12"/>
      <c r="E242" s="12"/>
      <c r="I242" s="14"/>
      <c r="J242" s="14"/>
      <c r="K242" s="15"/>
      <c r="P242" s="15"/>
      <c r="R242" s="16"/>
    </row>
    <row r="243" ht="15.75" customHeight="1">
      <c r="B243" s="12"/>
      <c r="C243" s="12"/>
      <c r="D243" s="12"/>
      <c r="E243" s="12"/>
      <c r="I243" s="14"/>
      <c r="J243" s="14"/>
      <c r="K243" s="15"/>
      <c r="P243" s="15"/>
      <c r="R243" s="16"/>
    </row>
    <row r="244" ht="15.75" customHeight="1">
      <c r="B244" s="12"/>
      <c r="C244" s="12"/>
      <c r="D244" s="12"/>
      <c r="E244" s="12"/>
      <c r="I244" s="14"/>
      <c r="J244" s="14"/>
      <c r="K244" s="15"/>
      <c r="P244" s="15"/>
      <c r="R244" s="16"/>
    </row>
    <row r="245" ht="15.75" customHeight="1">
      <c r="B245" s="12"/>
      <c r="C245" s="12"/>
      <c r="D245" s="12"/>
      <c r="E245" s="12"/>
      <c r="I245" s="14"/>
      <c r="J245" s="14"/>
      <c r="K245" s="15"/>
      <c r="P245" s="15"/>
      <c r="R245" s="16"/>
    </row>
    <row r="246" ht="15.75" customHeight="1">
      <c r="B246" s="12"/>
      <c r="C246" s="12"/>
      <c r="D246" s="12"/>
      <c r="E246" s="12"/>
      <c r="I246" s="14"/>
      <c r="J246" s="14"/>
      <c r="K246" s="15"/>
      <c r="P246" s="15"/>
      <c r="R246" s="16"/>
    </row>
    <row r="247" ht="15.75" customHeight="1">
      <c r="B247" s="12"/>
      <c r="C247" s="12"/>
      <c r="D247" s="12"/>
      <c r="E247" s="12"/>
      <c r="I247" s="14"/>
      <c r="J247" s="14"/>
      <c r="K247" s="15"/>
      <c r="P247" s="15"/>
      <c r="R247" s="16"/>
    </row>
    <row r="248" ht="15.75" customHeight="1">
      <c r="B248" s="12"/>
      <c r="C248" s="12"/>
      <c r="D248" s="12"/>
      <c r="E248" s="12"/>
      <c r="I248" s="14"/>
      <c r="J248" s="14"/>
      <c r="K248" s="15"/>
      <c r="P248" s="15"/>
      <c r="R248" s="16"/>
    </row>
    <row r="249" ht="15.75" customHeight="1">
      <c r="B249" s="12"/>
      <c r="C249" s="12"/>
      <c r="D249" s="12"/>
      <c r="E249" s="12"/>
      <c r="I249" s="14"/>
      <c r="J249" s="14"/>
      <c r="K249" s="15"/>
      <c r="P249" s="15"/>
      <c r="R249" s="16"/>
    </row>
    <row r="250" ht="15.75" customHeight="1">
      <c r="B250" s="12"/>
      <c r="C250" s="12"/>
      <c r="D250" s="12"/>
      <c r="E250" s="12"/>
      <c r="I250" s="14"/>
      <c r="J250" s="14"/>
      <c r="K250" s="15"/>
      <c r="P250" s="15"/>
      <c r="R250" s="16"/>
    </row>
    <row r="251" ht="15.75" customHeight="1">
      <c r="B251" s="12"/>
      <c r="C251" s="12"/>
      <c r="D251" s="12"/>
      <c r="E251" s="12"/>
      <c r="I251" s="14"/>
      <c r="J251" s="14"/>
      <c r="K251" s="15"/>
      <c r="P251" s="15"/>
      <c r="R251" s="16"/>
    </row>
    <row r="252" ht="15.75" customHeight="1">
      <c r="B252" s="12"/>
      <c r="C252" s="12"/>
      <c r="D252" s="12"/>
      <c r="E252" s="12"/>
      <c r="I252" s="14"/>
      <c r="J252" s="14"/>
      <c r="K252" s="15"/>
      <c r="P252" s="15"/>
      <c r="R252" s="16"/>
    </row>
    <row r="253" ht="15.75" customHeight="1">
      <c r="B253" s="12"/>
      <c r="C253" s="12"/>
      <c r="D253" s="12"/>
      <c r="E253" s="12"/>
      <c r="I253" s="14"/>
      <c r="J253" s="14"/>
      <c r="K253" s="15"/>
      <c r="P253" s="15"/>
      <c r="R253" s="16"/>
    </row>
    <row r="254" ht="15.75" customHeight="1">
      <c r="B254" s="12"/>
      <c r="C254" s="12"/>
      <c r="D254" s="12"/>
      <c r="E254" s="12"/>
      <c r="I254" s="14"/>
      <c r="J254" s="14"/>
      <c r="K254" s="15"/>
      <c r="P254" s="15"/>
      <c r="R254" s="16"/>
    </row>
    <row r="255" ht="15.75" customHeight="1">
      <c r="B255" s="12"/>
      <c r="C255" s="12"/>
      <c r="D255" s="12"/>
      <c r="E255" s="12"/>
      <c r="I255" s="14"/>
      <c r="J255" s="14"/>
      <c r="K255" s="15"/>
      <c r="P255" s="15"/>
      <c r="R255" s="16"/>
    </row>
    <row r="256" ht="15.75" customHeight="1">
      <c r="B256" s="12"/>
      <c r="C256" s="12"/>
      <c r="D256" s="12"/>
      <c r="E256" s="12"/>
      <c r="I256" s="14"/>
      <c r="J256" s="14"/>
      <c r="K256" s="15"/>
      <c r="P256" s="15"/>
      <c r="R256" s="16"/>
    </row>
    <row r="257" ht="15.75" customHeight="1">
      <c r="B257" s="12"/>
      <c r="C257" s="12"/>
      <c r="D257" s="12"/>
      <c r="E257" s="12"/>
      <c r="I257" s="14"/>
      <c r="J257" s="14"/>
      <c r="K257" s="15"/>
      <c r="P257" s="15"/>
      <c r="R257" s="16"/>
    </row>
    <row r="258" ht="15.75" customHeight="1">
      <c r="B258" s="12"/>
      <c r="C258" s="12"/>
      <c r="D258" s="12"/>
      <c r="E258" s="12"/>
      <c r="I258" s="14"/>
      <c r="J258" s="14"/>
      <c r="K258" s="15"/>
      <c r="P258" s="15"/>
      <c r="R258" s="16"/>
    </row>
    <row r="259" ht="15.75" customHeight="1">
      <c r="B259" s="12"/>
      <c r="C259" s="12"/>
      <c r="D259" s="12"/>
      <c r="E259" s="12"/>
      <c r="I259" s="14"/>
      <c r="J259" s="14"/>
      <c r="K259" s="15"/>
      <c r="P259" s="15"/>
      <c r="R259" s="16"/>
    </row>
    <row r="260" ht="15.75" customHeight="1">
      <c r="B260" s="12"/>
      <c r="C260" s="12"/>
      <c r="D260" s="12"/>
      <c r="E260" s="12"/>
      <c r="I260" s="14"/>
      <c r="J260" s="14"/>
      <c r="K260" s="15"/>
      <c r="P260" s="15"/>
      <c r="R260" s="16"/>
    </row>
    <row r="261" ht="15.75" customHeight="1">
      <c r="B261" s="12"/>
      <c r="C261" s="12"/>
      <c r="D261" s="12"/>
      <c r="E261" s="12"/>
      <c r="I261" s="14"/>
      <c r="J261" s="14"/>
      <c r="K261" s="15"/>
      <c r="P261" s="15"/>
      <c r="R261" s="16"/>
    </row>
    <row r="262" ht="15.75" customHeight="1">
      <c r="B262" s="12"/>
      <c r="C262" s="12"/>
      <c r="D262" s="12"/>
      <c r="E262" s="12"/>
      <c r="I262" s="14"/>
      <c r="J262" s="14"/>
      <c r="K262" s="15"/>
      <c r="P262" s="15"/>
      <c r="R262" s="16"/>
    </row>
    <row r="263" ht="15.75" customHeight="1">
      <c r="B263" s="12"/>
      <c r="C263" s="12"/>
      <c r="D263" s="12"/>
      <c r="E263" s="12"/>
      <c r="I263" s="14"/>
      <c r="J263" s="14"/>
      <c r="K263" s="15"/>
      <c r="P263" s="15"/>
      <c r="R263" s="16"/>
    </row>
    <row r="264" ht="15.75" customHeight="1">
      <c r="B264" s="12"/>
      <c r="C264" s="12"/>
      <c r="D264" s="12"/>
      <c r="E264" s="12"/>
      <c r="I264" s="14"/>
      <c r="J264" s="14"/>
      <c r="K264" s="15"/>
      <c r="P264" s="15"/>
      <c r="R264" s="16"/>
    </row>
    <row r="265" ht="15.75" customHeight="1">
      <c r="B265" s="12"/>
      <c r="C265" s="12"/>
      <c r="D265" s="12"/>
      <c r="E265" s="12"/>
      <c r="I265" s="14"/>
      <c r="J265" s="14"/>
      <c r="K265" s="15"/>
      <c r="P265" s="15"/>
      <c r="R265" s="16"/>
    </row>
    <row r="266" ht="15.75" customHeight="1">
      <c r="B266" s="12"/>
      <c r="C266" s="12"/>
      <c r="D266" s="12"/>
      <c r="E266" s="12"/>
      <c r="I266" s="14"/>
      <c r="J266" s="14"/>
      <c r="K266" s="15"/>
      <c r="P266" s="15"/>
      <c r="R266" s="16"/>
    </row>
    <row r="267" ht="15.75" customHeight="1">
      <c r="B267" s="12"/>
      <c r="C267" s="12"/>
      <c r="D267" s="12"/>
      <c r="E267" s="12"/>
      <c r="I267" s="14"/>
      <c r="J267" s="14"/>
      <c r="K267" s="15"/>
      <c r="P267" s="15"/>
      <c r="R267" s="16"/>
    </row>
    <row r="268" ht="15.75" customHeight="1">
      <c r="B268" s="12"/>
      <c r="C268" s="12"/>
      <c r="D268" s="12"/>
      <c r="E268" s="12"/>
      <c r="I268" s="14"/>
      <c r="J268" s="14"/>
      <c r="K268" s="15"/>
      <c r="P268" s="15"/>
      <c r="R268" s="16"/>
    </row>
    <row r="269" ht="15.75" customHeight="1">
      <c r="B269" s="12"/>
      <c r="C269" s="12"/>
      <c r="D269" s="12"/>
      <c r="E269" s="12"/>
      <c r="I269" s="14"/>
      <c r="J269" s="14"/>
      <c r="K269" s="15"/>
      <c r="P269" s="15"/>
      <c r="R269" s="16"/>
    </row>
    <row r="270" ht="15.75" customHeight="1">
      <c r="B270" s="12"/>
      <c r="C270" s="12"/>
      <c r="D270" s="12"/>
      <c r="E270" s="12"/>
      <c r="I270" s="14"/>
      <c r="J270" s="14"/>
      <c r="K270" s="15"/>
      <c r="P270" s="15"/>
      <c r="R270" s="16"/>
    </row>
    <row r="271" ht="15.75" customHeight="1">
      <c r="B271" s="12"/>
      <c r="C271" s="12"/>
      <c r="D271" s="12"/>
      <c r="E271" s="12"/>
      <c r="I271" s="14"/>
      <c r="J271" s="14"/>
      <c r="K271" s="15"/>
      <c r="P271" s="15"/>
      <c r="R271" s="16"/>
    </row>
    <row r="272" ht="15.75" customHeight="1">
      <c r="B272" s="12"/>
      <c r="C272" s="12"/>
      <c r="D272" s="12"/>
      <c r="E272" s="12"/>
      <c r="I272" s="14"/>
      <c r="J272" s="14"/>
      <c r="K272" s="15"/>
      <c r="P272" s="15"/>
      <c r="R272" s="16"/>
    </row>
    <row r="273" ht="15.75" customHeight="1">
      <c r="B273" s="12"/>
      <c r="C273" s="12"/>
      <c r="D273" s="12"/>
      <c r="E273" s="12"/>
      <c r="I273" s="14"/>
      <c r="J273" s="14"/>
      <c r="K273" s="15"/>
      <c r="P273" s="15"/>
      <c r="R273" s="16"/>
    </row>
    <row r="274" ht="15.75" customHeight="1">
      <c r="B274" s="12"/>
      <c r="C274" s="12"/>
      <c r="D274" s="12"/>
      <c r="E274" s="12"/>
      <c r="I274" s="14"/>
      <c r="J274" s="14"/>
      <c r="K274" s="15"/>
      <c r="P274" s="15"/>
      <c r="R274" s="16"/>
    </row>
    <row r="275" ht="15.75" customHeight="1">
      <c r="B275" s="12"/>
      <c r="C275" s="12"/>
      <c r="D275" s="12"/>
      <c r="E275" s="12"/>
      <c r="I275" s="14"/>
      <c r="J275" s="14"/>
      <c r="K275" s="15"/>
      <c r="P275" s="15"/>
      <c r="R275" s="16"/>
    </row>
    <row r="276" ht="15.75" customHeight="1">
      <c r="B276" s="12"/>
      <c r="C276" s="12"/>
      <c r="D276" s="12"/>
      <c r="E276" s="12"/>
      <c r="I276" s="14"/>
      <c r="J276" s="14"/>
      <c r="K276" s="15"/>
      <c r="P276" s="15"/>
      <c r="R276" s="16"/>
    </row>
    <row r="277" ht="15.75" customHeight="1">
      <c r="B277" s="12"/>
      <c r="C277" s="12"/>
      <c r="D277" s="12"/>
      <c r="E277" s="12"/>
      <c r="I277" s="14"/>
      <c r="J277" s="14"/>
      <c r="K277" s="15"/>
      <c r="P277" s="15"/>
      <c r="R277" s="16"/>
    </row>
    <row r="278" ht="15.75" customHeight="1">
      <c r="B278" s="12"/>
      <c r="C278" s="12"/>
      <c r="D278" s="12"/>
      <c r="E278" s="12"/>
      <c r="I278" s="14"/>
      <c r="J278" s="14"/>
      <c r="K278" s="15"/>
      <c r="P278" s="15"/>
      <c r="R278" s="16"/>
    </row>
    <row r="279" ht="15.75" customHeight="1">
      <c r="B279" s="12"/>
      <c r="C279" s="12"/>
      <c r="D279" s="12"/>
      <c r="E279" s="12"/>
      <c r="I279" s="14"/>
      <c r="J279" s="14"/>
      <c r="K279" s="15"/>
      <c r="P279" s="15"/>
      <c r="R279" s="16"/>
    </row>
    <row r="280" ht="15.75" customHeight="1">
      <c r="B280" s="12"/>
      <c r="C280" s="12"/>
      <c r="D280" s="12"/>
      <c r="E280" s="12"/>
      <c r="I280" s="14"/>
      <c r="J280" s="14"/>
      <c r="K280" s="15"/>
      <c r="P280" s="15"/>
      <c r="R280" s="16"/>
    </row>
    <row r="281" ht="15.75" customHeight="1">
      <c r="B281" s="12"/>
      <c r="C281" s="12"/>
      <c r="D281" s="12"/>
      <c r="E281" s="12"/>
      <c r="I281" s="14"/>
      <c r="J281" s="14"/>
      <c r="K281" s="15"/>
      <c r="P281" s="15"/>
      <c r="R281" s="16"/>
    </row>
    <row r="282" ht="15.75" customHeight="1">
      <c r="B282" s="12"/>
      <c r="C282" s="12"/>
      <c r="D282" s="12"/>
      <c r="E282" s="12"/>
      <c r="I282" s="14"/>
      <c r="J282" s="14"/>
      <c r="K282" s="15"/>
      <c r="P282" s="15"/>
      <c r="R282" s="16"/>
    </row>
    <row r="283" ht="15.75" customHeight="1">
      <c r="B283" s="12"/>
      <c r="C283" s="12"/>
      <c r="D283" s="12"/>
      <c r="E283" s="12"/>
      <c r="I283" s="14"/>
      <c r="J283" s="14"/>
      <c r="K283" s="15"/>
      <c r="P283" s="15"/>
      <c r="R283" s="16"/>
    </row>
    <row r="284" ht="15.75" customHeight="1">
      <c r="B284" s="12"/>
      <c r="C284" s="12"/>
      <c r="D284" s="12"/>
      <c r="E284" s="12"/>
      <c r="I284" s="14"/>
      <c r="J284" s="14"/>
      <c r="K284" s="15"/>
      <c r="P284" s="15"/>
      <c r="R284" s="16"/>
    </row>
    <row r="285" ht="15.75" customHeight="1">
      <c r="B285" s="12"/>
      <c r="C285" s="12"/>
      <c r="D285" s="12"/>
      <c r="E285" s="12"/>
      <c r="I285" s="14"/>
      <c r="J285" s="14"/>
      <c r="K285" s="15"/>
      <c r="P285" s="15"/>
      <c r="R285" s="16"/>
    </row>
    <row r="286" ht="15.75" customHeight="1">
      <c r="B286" s="12"/>
      <c r="C286" s="12"/>
      <c r="D286" s="12"/>
      <c r="E286" s="12"/>
      <c r="I286" s="14"/>
      <c r="J286" s="14"/>
      <c r="K286" s="15"/>
      <c r="P286" s="15"/>
      <c r="R286" s="16"/>
    </row>
    <row r="287" ht="15.75" customHeight="1">
      <c r="B287" s="12"/>
      <c r="C287" s="12"/>
      <c r="D287" s="12"/>
      <c r="E287" s="12"/>
      <c r="I287" s="14"/>
      <c r="J287" s="14"/>
      <c r="K287" s="15"/>
      <c r="P287" s="15"/>
      <c r="R287" s="16"/>
    </row>
    <row r="288" ht="15.75" customHeight="1">
      <c r="B288" s="12"/>
      <c r="C288" s="12"/>
      <c r="D288" s="12"/>
      <c r="E288" s="12"/>
      <c r="I288" s="14"/>
      <c r="J288" s="14"/>
      <c r="K288" s="15"/>
      <c r="P288" s="15"/>
      <c r="R288" s="16"/>
    </row>
    <row r="289" ht="15.75" customHeight="1">
      <c r="B289" s="12"/>
      <c r="C289" s="12"/>
      <c r="D289" s="12"/>
      <c r="E289" s="12"/>
      <c r="I289" s="14"/>
      <c r="J289" s="14"/>
      <c r="K289" s="15"/>
      <c r="P289" s="15"/>
      <c r="R289" s="16"/>
    </row>
    <row r="290" ht="15.75" customHeight="1">
      <c r="B290" s="12"/>
      <c r="C290" s="12"/>
      <c r="D290" s="12"/>
      <c r="E290" s="12"/>
      <c r="I290" s="14"/>
      <c r="J290" s="14"/>
      <c r="K290" s="15"/>
      <c r="P290" s="15"/>
      <c r="R290" s="16"/>
    </row>
    <row r="291" ht="15.75" customHeight="1">
      <c r="B291" s="12"/>
      <c r="C291" s="12"/>
      <c r="D291" s="12"/>
      <c r="E291" s="12"/>
      <c r="I291" s="14"/>
      <c r="J291" s="14"/>
      <c r="K291" s="15"/>
      <c r="P291" s="15"/>
      <c r="R291" s="16"/>
    </row>
    <row r="292" ht="15.75" customHeight="1">
      <c r="B292" s="12"/>
      <c r="C292" s="12"/>
      <c r="D292" s="12"/>
      <c r="E292" s="12"/>
      <c r="I292" s="14"/>
      <c r="J292" s="14"/>
      <c r="K292" s="15"/>
      <c r="P292" s="15"/>
      <c r="R292" s="16"/>
    </row>
    <row r="293" ht="15.75" customHeight="1">
      <c r="B293" s="12"/>
      <c r="C293" s="12"/>
      <c r="D293" s="12"/>
      <c r="E293" s="12"/>
      <c r="I293" s="14"/>
      <c r="J293" s="14"/>
      <c r="K293" s="15"/>
      <c r="P293" s="15"/>
      <c r="R293" s="16"/>
    </row>
    <row r="294" ht="15.75" customHeight="1">
      <c r="B294" s="12"/>
      <c r="C294" s="12"/>
      <c r="D294" s="12"/>
      <c r="E294" s="12"/>
      <c r="I294" s="14"/>
      <c r="J294" s="14"/>
      <c r="K294" s="15"/>
      <c r="P294" s="15"/>
      <c r="R294" s="16"/>
    </row>
    <row r="295" ht="15.75" customHeight="1">
      <c r="B295" s="12"/>
      <c r="C295" s="12"/>
      <c r="D295" s="12"/>
      <c r="E295" s="12"/>
      <c r="I295" s="14"/>
      <c r="J295" s="14"/>
      <c r="K295" s="15"/>
      <c r="P295" s="15"/>
      <c r="R295" s="16"/>
    </row>
    <row r="296" ht="15.75" customHeight="1">
      <c r="B296" s="12"/>
      <c r="C296" s="12"/>
      <c r="D296" s="12"/>
      <c r="E296" s="12"/>
      <c r="I296" s="14"/>
      <c r="J296" s="14"/>
      <c r="K296" s="15"/>
      <c r="P296" s="15"/>
      <c r="R296" s="16"/>
    </row>
    <row r="297" ht="15.75" customHeight="1">
      <c r="B297" s="12"/>
      <c r="C297" s="12"/>
      <c r="D297" s="12"/>
      <c r="E297" s="12"/>
      <c r="I297" s="14"/>
      <c r="J297" s="14"/>
      <c r="K297" s="15"/>
      <c r="P297" s="15"/>
      <c r="R297" s="16"/>
    </row>
    <row r="298" ht="15.75" customHeight="1">
      <c r="B298" s="12"/>
      <c r="C298" s="12"/>
      <c r="D298" s="12"/>
      <c r="E298" s="12"/>
      <c r="I298" s="14"/>
      <c r="J298" s="14"/>
      <c r="K298" s="15"/>
      <c r="P298" s="15"/>
      <c r="R298" s="16"/>
    </row>
    <row r="299" ht="15.75" customHeight="1">
      <c r="B299" s="12"/>
      <c r="C299" s="12"/>
      <c r="D299" s="12"/>
      <c r="E299" s="12"/>
      <c r="I299" s="14"/>
      <c r="J299" s="14"/>
      <c r="K299" s="15"/>
      <c r="P299" s="15"/>
      <c r="R299" s="16"/>
    </row>
    <row r="300" ht="15.75" customHeight="1">
      <c r="B300" s="12"/>
      <c r="C300" s="12"/>
      <c r="D300" s="12"/>
      <c r="E300" s="12"/>
      <c r="I300" s="14"/>
      <c r="J300" s="14"/>
      <c r="K300" s="15"/>
      <c r="P300" s="15"/>
      <c r="R300" s="16"/>
    </row>
    <row r="301" ht="15.75" customHeight="1">
      <c r="B301" s="12"/>
      <c r="C301" s="12"/>
      <c r="D301" s="12"/>
      <c r="E301" s="12"/>
      <c r="I301" s="14"/>
      <c r="J301" s="14"/>
      <c r="K301" s="15"/>
      <c r="P301" s="15"/>
      <c r="R301" s="16"/>
    </row>
    <row r="302" ht="15.75" customHeight="1">
      <c r="B302" s="12"/>
      <c r="C302" s="12"/>
      <c r="D302" s="12"/>
      <c r="E302" s="12"/>
      <c r="I302" s="14"/>
      <c r="J302" s="14"/>
      <c r="K302" s="15"/>
      <c r="P302" s="15"/>
      <c r="R302" s="16"/>
    </row>
    <row r="303" ht="15.75" customHeight="1">
      <c r="B303" s="12"/>
      <c r="C303" s="12"/>
      <c r="D303" s="12"/>
      <c r="E303" s="12"/>
      <c r="I303" s="14"/>
      <c r="J303" s="14"/>
      <c r="K303" s="15"/>
      <c r="P303" s="15"/>
      <c r="R303" s="16"/>
    </row>
    <row r="304" ht="15.75" customHeight="1">
      <c r="B304" s="12"/>
      <c r="C304" s="12"/>
      <c r="D304" s="12"/>
      <c r="E304" s="12"/>
      <c r="I304" s="14"/>
      <c r="J304" s="14"/>
      <c r="K304" s="15"/>
      <c r="P304" s="15"/>
      <c r="R304" s="16"/>
    </row>
    <row r="305" ht="15.75" customHeight="1">
      <c r="B305" s="12"/>
      <c r="C305" s="12"/>
      <c r="D305" s="12"/>
      <c r="E305" s="12"/>
      <c r="I305" s="14"/>
      <c r="J305" s="14"/>
      <c r="K305" s="15"/>
      <c r="P305" s="15"/>
      <c r="R305" s="16"/>
    </row>
    <row r="306" ht="15.75" customHeight="1">
      <c r="B306" s="12"/>
      <c r="C306" s="12"/>
      <c r="D306" s="12"/>
      <c r="E306" s="12"/>
      <c r="I306" s="14"/>
      <c r="J306" s="14"/>
      <c r="K306" s="15"/>
      <c r="P306" s="15"/>
      <c r="R306" s="16"/>
    </row>
    <row r="307" ht="15.75" customHeight="1">
      <c r="B307" s="12"/>
      <c r="C307" s="12"/>
      <c r="D307" s="12"/>
      <c r="E307" s="12"/>
      <c r="I307" s="14"/>
      <c r="J307" s="14"/>
      <c r="K307" s="15"/>
      <c r="P307" s="15"/>
      <c r="R307" s="16"/>
    </row>
    <row r="308" ht="15.75" customHeight="1">
      <c r="B308" s="12"/>
      <c r="C308" s="12"/>
      <c r="D308" s="12"/>
      <c r="E308" s="12"/>
      <c r="I308" s="14"/>
      <c r="J308" s="14"/>
      <c r="K308" s="15"/>
      <c r="P308" s="15"/>
      <c r="R308" s="16"/>
    </row>
    <row r="309" ht="15.75" customHeight="1">
      <c r="B309" s="12"/>
      <c r="C309" s="12"/>
      <c r="D309" s="12"/>
      <c r="E309" s="12"/>
      <c r="I309" s="14"/>
      <c r="J309" s="14"/>
      <c r="K309" s="15"/>
      <c r="P309" s="15"/>
      <c r="R309" s="16"/>
    </row>
    <row r="310" ht="15.75" customHeight="1">
      <c r="B310" s="12"/>
      <c r="C310" s="12"/>
      <c r="D310" s="12"/>
      <c r="E310" s="12"/>
      <c r="I310" s="14"/>
      <c r="J310" s="14"/>
      <c r="K310" s="15"/>
      <c r="P310" s="15"/>
      <c r="R310" s="16"/>
    </row>
    <row r="311" ht="15.75" customHeight="1">
      <c r="B311" s="12"/>
      <c r="C311" s="12"/>
      <c r="D311" s="12"/>
      <c r="E311" s="12"/>
      <c r="I311" s="14"/>
      <c r="J311" s="14"/>
      <c r="K311" s="15"/>
      <c r="P311" s="15"/>
      <c r="R311" s="16"/>
    </row>
    <row r="312" ht="15.75" customHeight="1">
      <c r="B312" s="12"/>
      <c r="C312" s="12"/>
      <c r="D312" s="12"/>
      <c r="E312" s="12"/>
      <c r="I312" s="14"/>
      <c r="J312" s="14"/>
      <c r="K312" s="15"/>
      <c r="P312" s="15"/>
      <c r="R312" s="16"/>
    </row>
    <row r="313" ht="15.75" customHeight="1">
      <c r="B313" s="12"/>
      <c r="C313" s="12"/>
      <c r="D313" s="12"/>
      <c r="E313" s="12"/>
      <c r="I313" s="14"/>
      <c r="J313" s="14"/>
      <c r="K313" s="15"/>
      <c r="P313" s="15"/>
      <c r="R313" s="16"/>
    </row>
    <row r="314" ht="15.75" customHeight="1">
      <c r="B314" s="12"/>
      <c r="C314" s="12"/>
      <c r="D314" s="12"/>
      <c r="E314" s="12"/>
      <c r="I314" s="14"/>
      <c r="J314" s="14"/>
      <c r="K314" s="15"/>
      <c r="P314" s="15"/>
      <c r="R314" s="16"/>
    </row>
    <row r="315" ht="15.75" customHeight="1">
      <c r="B315" s="12"/>
      <c r="C315" s="12"/>
      <c r="D315" s="12"/>
      <c r="E315" s="12"/>
      <c r="I315" s="14"/>
      <c r="J315" s="14"/>
      <c r="K315" s="15"/>
      <c r="P315" s="15"/>
      <c r="R315" s="16"/>
    </row>
    <row r="316" ht="15.75" customHeight="1">
      <c r="B316" s="12"/>
      <c r="C316" s="12"/>
      <c r="D316" s="12"/>
      <c r="E316" s="12"/>
      <c r="I316" s="14"/>
      <c r="J316" s="14"/>
      <c r="K316" s="15"/>
      <c r="P316" s="15"/>
      <c r="R316" s="16"/>
    </row>
    <row r="317" ht="15.75" customHeight="1">
      <c r="B317" s="12"/>
      <c r="C317" s="12"/>
      <c r="D317" s="12"/>
      <c r="E317" s="12"/>
      <c r="I317" s="14"/>
      <c r="J317" s="14"/>
      <c r="K317" s="15"/>
      <c r="P317" s="15"/>
      <c r="R317" s="16"/>
    </row>
    <row r="318" ht="15.75" customHeight="1">
      <c r="B318" s="12"/>
      <c r="C318" s="12"/>
      <c r="D318" s="12"/>
      <c r="E318" s="12"/>
      <c r="I318" s="14"/>
      <c r="J318" s="14"/>
      <c r="K318" s="15"/>
      <c r="P318" s="15"/>
      <c r="R318" s="16"/>
    </row>
    <row r="319" ht="15.75" customHeight="1">
      <c r="B319" s="12"/>
      <c r="C319" s="12"/>
      <c r="D319" s="12"/>
      <c r="E319" s="12"/>
      <c r="I319" s="14"/>
      <c r="J319" s="14"/>
      <c r="K319" s="15"/>
      <c r="P319" s="15"/>
      <c r="R319" s="16"/>
    </row>
    <row r="320" ht="15.75" customHeight="1">
      <c r="B320" s="12"/>
      <c r="C320" s="12"/>
      <c r="D320" s="12"/>
      <c r="E320" s="12"/>
      <c r="I320" s="14"/>
      <c r="J320" s="14"/>
      <c r="K320" s="15"/>
      <c r="P320" s="15"/>
      <c r="R320" s="16"/>
    </row>
    <row r="321" ht="15.75" customHeight="1">
      <c r="B321" s="12"/>
      <c r="C321" s="12"/>
      <c r="D321" s="12"/>
      <c r="E321" s="12"/>
      <c r="I321" s="14"/>
      <c r="J321" s="14"/>
      <c r="K321" s="15"/>
      <c r="P321" s="15"/>
      <c r="R321" s="16"/>
    </row>
    <row r="322" ht="15.75" customHeight="1">
      <c r="B322" s="12"/>
      <c r="C322" s="12"/>
      <c r="D322" s="12"/>
      <c r="E322" s="12"/>
      <c r="I322" s="14"/>
      <c r="J322" s="14"/>
      <c r="K322" s="15"/>
      <c r="P322" s="15"/>
      <c r="R322" s="16"/>
    </row>
    <row r="323" ht="15.75" customHeight="1">
      <c r="B323" s="12"/>
      <c r="C323" s="12"/>
      <c r="D323" s="12"/>
      <c r="E323" s="12"/>
      <c r="I323" s="14"/>
      <c r="J323" s="14"/>
      <c r="K323" s="15"/>
      <c r="P323" s="15"/>
      <c r="R323" s="16"/>
    </row>
    <row r="324" ht="15.75" customHeight="1">
      <c r="B324" s="12"/>
      <c r="C324" s="12"/>
      <c r="D324" s="12"/>
      <c r="E324" s="12"/>
      <c r="I324" s="14"/>
      <c r="J324" s="14"/>
      <c r="K324" s="15"/>
      <c r="P324" s="15"/>
      <c r="R324" s="16"/>
    </row>
    <row r="325" ht="15.75" customHeight="1">
      <c r="B325" s="12"/>
      <c r="C325" s="12"/>
      <c r="D325" s="12"/>
      <c r="E325" s="12"/>
      <c r="I325" s="14"/>
      <c r="J325" s="14"/>
      <c r="K325" s="15"/>
      <c r="P325" s="15"/>
      <c r="R325" s="16"/>
    </row>
    <row r="326" ht="15.75" customHeight="1">
      <c r="B326" s="12"/>
      <c r="C326" s="12"/>
      <c r="D326" s="12"/>
      <c r="E326" s="12"/>
      <c r="I326" s="14"/>
      <c r="J326" s="14"/>
      <c r="K326" s="15"/>
      <c r="P326" s="15"/>
      <c r="R326" s="16"/>
    </row>
    <row r="327" ht="15.75" customHeight="1">
      <c r="B327" s="12"/>
      <c r="C327" s="12"/>
      <c r="D327" s="12"/>
      <c r="E327" s="12"/>
      <c r="I327" s="14"/>
      <c r="J327" s="14"/>
      <c r="K327" s="15"/>
      <c r="P327" s="15"/>
      <c r="R327" s="16"/>
    </row>
    <row r="328" ht="15.75" customHeight="1">
      <c r="B328" s="12"/>
      <c r="C328" s="12"/>
      <c r="D328" s="12"/>
      <c r="E328" s="12"/>
      <c r="I328" s="14"/>
      <c r="J328" s="14"/>
      <c r="K328" s="15"/>
      <c r="P328" s="15"/>
      <c r="R328" s="16"/>
    </row>
    <row r="329" ht="15.75" customHeight="1">
      <c r="B329" s="12"/>
      <c r="C329" s="12"/>
      <c r="D329" s="12"/>
      <c r="E329" s="12"/>
      <c r="I329" s="14"/>
      <c r="J329" s="14"/>
      <c r="K329" s="15"/>
      <c r="P329" s="15"/>
      <c r="R329" s="16"/>
    </row>
    <row r="330" ht="15.75" customHeight="1">
      <c r="B330" s="12"/>
      <c r="C330" s="12"/>
      <c r="D330" s="12"/>
      <c r="E330" s="12"/>
      <c r="I330" s="14"/>
      <c r="J330" s="14"/>
      <c r="K330" s="15"/>
      <c r="P330" s="15"/>
      <c r="R330" s="16"/>
    </row>
    <row r="331" ht="15.75" customHeight="1">
      <c r="B331" s="12"/>
      <c r="C331" s="12"/>
      <c r="D331" s="12"/>
      <c r="E331" s="12"/>
      <c r="I331" s="14"/>
      <c r="J331" s="14"/>
      <c r="K331" s="15"/>
      <c r="P331" s="15"/>
      <c r="R331" s="16"/>
    </row>
    <row r="332" ht="15.75" customHeight="1">
      <c r="B332" s="12"/>
      <c r="C332" s="12"/>
      <c r="D332" s="12"/>
      <c r="E332" s="12"/>
      <c r="I332" s="14"/>
      <c r="J332" s="14"/>
      <c r="K332" s="15"/>
      <c r="P332" s="15"/>
      <c r="R332" s="16"/>
    </row>
    <row r="333" ht="15.75" customHeight="1">
      <c r="B333" s="12"/>
      <c r="C333" s="12"/>
      <c r="D333" s="12"/>
      <c r="E333" s="12"/>
      <c r="I333" s="14"/>
      <c r="J333" s="14"/>
      <c r="K333" s="15"/>
      <c r="P333" s="15"/>
      <c r="R333" s="16"/>
    </row>
    <row r="334" ht="15.75" customHeight="1">
      <c r="B334" s="12"/>
      <c r="C334" s="12"/>
      <c r="D334" s="12"/>
      <c r="E334" s="12"/>
      <c r="I334" s="14"/>
      <c r="J334" s="14"/>
      <c r="K334" s="15"/>
      <c r="P334" s="15"/>
      <c r="R334" s="16"/>
    </row>
    <row r="335" ht="15.75" customHeight="1">
      <c r="B335" s="12"/>
      <c r="C335" s="12"/>
      <c r="D335" s="12"/>
      <c r="E335" s="12"/>
      <c r="I335" s="14"/>
      <c r="J335" s="14"/>
      <c r="K335" s="15"/>
      <c r="P335" s="15"/>
      <c r="R335" s="16"/>
    </row>
    <row r="336" ht="15.75" customHeight="1">
      <c r="B336" s="12"/>
      <c r="C336" s="12"/>
      <c r="D336" s="12"/>
      <c r="E336" s="12"/>
      <c r="I336" s="14"/>
      <c r="J336" s="14"/>
      <c r="K336" s="15"/>
      <c r="P336" s="15"/>
      <c r="R336" s="16"/>
    </row>
    <row r="337" ht="15.75" customHeight="1">
      <c r="B337" s="12"/>
      <c r="C337" s="12"/>
      <c r="D337" s="12"/>
      <c r="E337" s="12"/>
      <c r="I337" s="14"/>
      <c r="J337" s="14"/>
      <c r="K337" s="15"/>
      <c r="P337" s="15"/>
      <c r="R337" s="16"/>
    </row>
    <row r="338" ht="15.75" customHeight="1">
      <c r="B338" s="12"/>
      <c r="C338" s="12"/>
      <c r="D338" s="12"/>
      <c r="E338" s="12"/>
      <c r="I338" s="14"/>
      <c r="J338" s="14"/>
      <c r="K338" s="15"/>
      <c r="P338" s="15"/>
      <c r="R338" s="16"/>
    </row>
    <row r="339" ht="15.75" customHeight="1">
      <c r="B339" s="12"/>
      <c r="C339" s="12"/>
      <c r="D339" s="12"/>
      <c r="E339" s="12"/>
      <c r="I339" s="14"/>
      <c r="J339" s="14"/>
      <c r="K339" s="15"/>
      <c r="P339" s="15"/>
      <c r="R339" s="16"/>
    </row>
    <row r="340" ht="15.75" customHeight="1">
      <c r="B340" s="12"/>
      <c r="C340" s="12"/>
      <c r="D340" s="12"/>
      <c r="E340" s="12"/>
      <c r="I340" s="14"/>
      <c r="J340" s="14"/>
      <c r="K340" s="15"/>
      <c r="P340" s="15"/>
      <c r="R340" s="16"/>
    </row>
    <row r="341" ht="15.75" customHeight="1">
      <c r="B341" s="12"/>
      <c r="C341" s="12"/>
      <c r="D341" s="12"/>
      <c r="E341" s="12"/>
      <c r="I341" s="14"/>
      <c r="J341" s="14"/>
      <c r="K341" s="15"/>
      <c r="P341" s="15"/>
      <c r="R341" s="16"/>
    </row>
    <row r="342" ht="15.75" customHeight="1">
      <c r="B342" s="12"/>
      <c r="C342" s="12"/>
      <c r="D342" s="12"/>
      <c r="E342" s="12"/>
      <c r="I342" s="14"/>
      <c r="J342" s="14"/>
      <c r="K342" s="15"/>
      <c r="P342" s="15"/>
      <c r="R342" s="16"/>
    </row>
    <row r="343" ht="15.75" customHeight="1">
      <c r="B343" s="12"/>
      <c r="C343" s="12"/>
      <c r="D343" s="12"/>
      <c r="E343" s="12"/>
      <c r="I343" s="14"/>
      <c r="J343" s="14"/>
      <c r="K343" s="15"/>
      <c r="P343" s="15"/>
      <c r="R343" s="16"/>
    </row>
    <row r="344" ht="15.75" customHeight="1">
      <c r="B344" s="12"/>
      <c r="C344" s="12"/>
      <c r="D344" s="12"/>
      <c r="E344" s="12"/>
      <c r="I344" s="14"/>
      <c r="J344" s="14"/>
      <c r="K344" s="15"/>
      <c r="P344" s="15"/>
      <c r="R344" s="16"/>
    </row>
    <row r="345" ht="15.75" customHeight="1">
      <c r="B345" s="12"/>
      <c r="C345" s="12"/>
      <c r="D345" s="12"/>
      <c r="E345" s="12"/>
      <c r="I345" s="14"/>
      <c r="J345" s="14"/>
      <c r="K345" s="15"/>
      <c r="P345" s="15"/>
      <c r="R345" s="16"/>
    </row>
    <row r="346" ht="15.75" customHeight="1">
      <c r="B346" s="12"/>
      <c r="C346" s="12"/>
      <c r="D346" s="12"/>
      <c r="E346" s="12"/>
      <c r="I346" s="14"/>
      <c r="J346" s="14"/>
      <c r="K346" s="15"/>
      <c r="P346" s="15"/>
      <c r="R346" s="16"/>
    </row>
    <row r="347" ht="15.75" customHeight="1">
      <c r="B347" s="12"/>
      <c r="C347" s="12"/>
      <c r="D347" s="12"/>
      <c r="E347" s="12"/>
      <c r="I347" s="14"/>
      <c r="J347" s="14"/>
      <c r="K347" s="15"/>
      <c r="P347" s="15"/>
      <c r="R347" s="16"/>
    </row>
    <row r="348" ht="15.75" customHeight="1">
      <c r="B348" s="12"/>
      <c r="C348" s="12"/>
      <c r="D348" s="12"/>
      <c r="E348" s="12"/>
      <c r="I348" s="14"/>
      <c r="J348" s="14"/>
      <c r="K348" s="15"/>
      <c r="P348" s="15"/>
      <c r="R348" s="16"/>
    </row>
    <row r="349" ht="15.75" customHeight="1">
      <c r="B349" s="12"/>
      <c r="C349" s="12"/>
      <c r="D349" s="12"/>
      <c r="E349" s="12"/>
      <c r="I349" s="14"/>
      <c r="J349" s="14"/>
      <c r="K349" s="15"/>
      <c r="P349" s="15"/>
      <c r="R349" s="16"/>
    </row>
    <row r="350" ht="15.75" customHeight="1">
      <c r="B350" s="12"/>
      <c r="C350" s="12"/>
      <c r="D350" s="12"/>
      <c r="E350" s="12"/>
      <c r="I350" s="14"/>
      <c r="J350" s="14"/>
      <c r="K350" s="15"/>
      <c r="P350" s="15"/>
      <c r="R350" s="16"/>
    </row>
    <row r="351" ht="15.75" customHeight="1">
      <c r="B351" s="12"/>
      <c r="C351" s="12"/>
      <c r="D351" s="12"/>
      <c r="E351" s="12"/>
      <c r="I351" s="14"/>
      <c r="J351" s="14"/>
      <c r="K351" s="15"/>
      <c r="P351" s="15"/>
      <c r="R351" s="16"/>
    </row>
    <row r="352" ht="15.75" customHeight="1">
      <c r="B352" s="12"/>
      <c r="C352" s="12"/>
      <c r="D352" s="12"/>
      <c r="E352" s="12"/>
      <c r="I352" s="14"/>
      <c r="J352" s="14"/>
      <c r="K352" s="15"/>
      <c r="P352" s="15"/>
      <c r="R352" s="16"/>
    </row>
    <row r="353" ht="15.75" customHeight="1">
      <c r="B353" s="12"/>
      <c r="C353" s="12"/>
      <c r="D353" s="12"/>
      <c r="E353" s="12"/>
      <c r="I353" s="14"/>
      <c r="J353" s="14"/>
      <c r="K353" s="15"/>
      <c r="P353" s="15"/>
      <c r="R353" s="16"/>
    </row>
    <row r="354" ht="15.75" customHeight="1">
      <c r="B354" s="12"/>
      <c r="C354" s="12"/>
      <c r="D354" s="12"/>
      <c r="E354" s="12"/>
      <c r="I354" s="14"/>
      <c r="J354" s="14"/>
      <c r="K354" s="15"/>
      <c r="P354" s="15"/>
      <c r="R354" s="16"/>
    </row>
    <row r="355" ht="15.75" customHeight="1">
      <c r="B355" s="12"/>
      <c r="C355" s="12"/>
      <c r="D355" s="12"/>
      <c r="E355" s="12"/>
      <c r="I355" s="14"/>
      <c r="J355" s="14"/>
      <c r="K355" s="15"/>
      <c r="P355" s="15"/>
      <c r="R355" s="16"/>
    </row>
    <row r="356" ht="15.75" customHeight="1">
      <c r="B356" s="12"/>
      <c r="C356" s="12"/>
      <c r="D356" s="12"/>
      <c r="E356" s="12"/>
      <c r="I356" s="14"/>
      <c r="J356" s="14"/>
      <c r="K356" s="15"/>
      <c r="P356" s="15"/>
      <c r="R356" s="16"/>
    </row>
    <row r="357" ht="15.75" customHeight="1">
      <c r="B357" s="12"/>
      <c r="C357" s="12"/>
      <c r="D357" s="12"/>
      <c r="E357" s="12"/>
      <c r="I357" s="14"/>
      <c r="J357" s="14"/>
      <c r="K357" s="15"/>
      <c r="P357" s="15"/>
      <c r="R357" s="16"/>
    </row>
    <row r="358" ht="15.75" customHeight="1">
      <c r="B358" s="12"/>
      <c r="C358" s="12"/>
      <c r="D358" s="12"/>
      <c r="E358" s="12"/>
      <c r="I358" s="14"/>
      <c r="J358" s="14"/>
      <c r="K358" s="15"/>
      <c r="P358" s="15"/>
      <c r="R358" s="16"/>
    </row>
    <row r="359" ht="15.75" customHeight="1">
      <c r="B359" s="12"/>
      <c r="C359" s="12"/>
      <c r="D359" s="12"/>
      <c r="E359" s="12"/>
      <c r="I359" s="14"/>
      <c r="J359" s="14"/>
      <c r="K359" s="15"/>
      <c r="P359" s="15"/>
      <c r="R359" s="16"/>
    </row>
    <row r="360" ht="15.75" customHeight="1">
      <c r="B360" s="12"/>
      <c r="C360" s="12"/>
      <c r="D360" s="12"/>
      <c r="E360" s="12"/>
      <c r="I360" s="14"/>
      <c r="J360" s="14"/>
      <c r="K360" s="15"/>
      <c r="P360" s="15"/>
      <c r="R360" s="16"/>
    </row>
    <row r="361" ht="15.75" customHeight="1">
      <c r="B361" s="12"/>
      <c r="C361" s="12"/>
      <c r="D361" s="12"/>
      <c r="E361" s="12"/>
      <c r="I361" s="14"/>
      <c r="J361" s="14"/>
      <c r="K361" s="15"/>
      <c r="P361" s="15"/>
      <c r="R361" s="16"/>
    </row>
    <row r="362" ht="15.75" customHeight="1">
      <c r="B362" s="12"/>
      <c r="C362" s="12"/>
      <c r="D362" s="12"/>
      <c r="E362" s="12"/>
      <c r="I362" s="14"/>
      <c r="J362" s="14"/>
      <c r="K362" s="15"/>
      <c r="P362" s="15"/>
      <c r="R362" s="16"/>
    </row>
    <row r="363" ht="15.75" customHeight="1">
      <c r="B363" s="12"/>
      <c r="C363" s="12"/>
      <c r="D363" s="12"/>
      <c r="E363" s="12"/>
      <c r="I363" s="14"/>
      <c r="J363" s="14"/>
      <c r="K363" s="15"/>
      <c r="P363" s="15"/>
      <c r="R363" s="16"/>
    </row>
    <row r="364" ht="15.75" customHeight="1">
      <c r="B364" s="12"/>
      <c r="C364" s="12"/>
      <c r="D364" s="12"/>
      <c r="E364" s="12"/>
      <c r="I364" s="14"/>
      <c r="J364" s="14"/>
      <c r="K364" s="15"/>
      <c r="P364" s="15"/>
      <c r="R364" s="16"/>
    </row>
    <row r="365" ht="15.75" customHeight="1">
      <c r="B365" s="12"/>
      <c r="C365" s="12"/>
      <c r="D365" s="12"/>
      <c r="E365" s="12"/>
      <c r="I365" s="14"/>
      <c r="J365" s="14"/>
      <c r="K365" s="15"/>
      <c r="P365" s="15"/>
      <c r="R365" s="16"/>
    </row>
    <row r="366" ht="15.75" customHeight="1">
      <c r="B366" s="12"/>
      <c r="C366" s="12"/>
      <c r="D366" s="12"/>
      <c r="E366" s="12"/>
      <c r="I366" s="14"/>
      <c r="J366" s="14"/>
      <c r="K366" s="15"/>
      <c r="P366" s="15"/>
      <c r="R366" s="16"/>
    </row>
    <row r="367" ht="15.75" customHeight="1">
      <c r="B367" s="12"/>
      <c r="C367" s="12"/>
      <c r="D367" s="12"/>
      <c r="E367" s="12"/>
      <c r="I367" s="14"/>
      <c r="J367" s="14"/>
      <c r="K367" s="15"/>
      <c r="P367" s="15"/>
      <c r="R367" s="16"/>
    </row>
    <row r="368" ht="15.75" customHeight="1">
      <c r="B368" s="12"/>
      <c r="C368" s="12"/>
      <c r="D368" s="12"/>
      <c r="E368" s="12"/>
      <c r="I368" s="14"/>
      <c r="J368" s="14"/>
      <c r="K368" s="15"/>
      <c r="P368" s="15"/>
      <c r="R368" s="16"/>
    </row>
    <row r="369" ht="15.75" customHeight="1">
      <c r="B369" s="12"/>
      <c r="C369" s="12"/>
      <c r="D369" s="12"/>
      <c r="E369" s="12"/>
      <c r="I369" s="14"/>
      <c r="J369" s="14"/>
      <c r="K369" s="15"/>
      <c r="P369" s="15"/>
      <c r="R369" s="16"/>
    </row>
    <row r="370" ht="15.75" customHeight="1">
      <c r="B370" s="12"/>
      <c r="C370" s="12"/>
      <c r="D370" s="12"/>
      <c r="E370" s="12"/>
      <c r="I370" s="14"/>
      <c r="J370" s="14"/>
      <c r="K370" s="15"/>
      <c r="P370" s="15"/>
      <c r="R370" s="16"/>
    </row>
    <row r="371" ht="15.75" customHeight="1">
      <c r="B371" s="12"/>
      <c r="C371" s="12"/>
      <c r="D371" s="12"/>
      <c r="E371" s="12"/>
      <c r="I371" s="14"/>
      <c r="J371" s="14"/>
      <c r="K371" s="15"/>
      <c r="P371" s="15"/>
      <c r="R371" s="16"/>
    </row>
    <row r="372" ht="15.75" customHeight="1">
      <c r="B372" s="12"/>
      <c r="C372" s="12"/>
      <c r="D372" s="12"/>
      <c r="E372" s="12"/>
      <c r="I372" s="14"/>
      <c r="J372" s="14"/>
      <c r="K372" s="15"/>
      <c r="P372" s="15"/>
      <c r="R372" s="16"/>
    </row>
    <row r="373" ht="15.75" customHeight="1">
      <c r="B373" s="12"/>
      <c r="C373" s="12"/>
      <c r="D373" s="12"/>
      <c r="E373" s="12"/>
      <c r="I373" s="14"/>
      <c r="J373" s="14"/>
      <c r="K373" s="15"/>
      <c r="P373" s="15"/>
      <c r="R373" s="16"/>
    </row>
    <row r="374" ht="15.75" customHeight="1">
      <c r="B374" s="12"/>
      <c r="C374" s="12"/>
      <c r="D374" s="12"/>
      <c r="E374" s="12"/>
      <c r="I374" s="14"/>
      <c r="J374" s="14"/>
      <c r="K374" s="15"/>
      <c r="P374" s="15"/>
      <c r="R374" s="16"/>
    </row>
    <row r="375" ht="15.75" customHeight="1">
      <c r="B375" s="12"/>
      <c r="C375" s="12"/>
      <c r="D375" s="12"/>
      <c r="E375" s="12"/>
      <c r="I375" s="14"/>
      <c r="J375" s="14"/>
      <c r="K375" s="15"/>
      <c r="P375" s="15"/>
      <c r="R375" s="16"/>
    </row>
    <row r="376" ht="15.75" customHeight="1">
      <c r="B376" s="12"/>
      <c r="C376" s="12"/>
      <c r="D376" s="12"/>
      <c r="E376" s="12"/>
      <c r="I376" s="14"/>
      <c r="J376" s="14"/>
      <c r="K376" s="15"/>
      <c r="P376" s="15"/>
      <c r="R376" s="16"/>
    </row>
    <row r="377" ht="15.75" customHeight="1">
      <c r="B377" s="12"/>
      <c r="C377" s="12"/>
      <c r="D377" s="12"/>
      <c r="E377" s="12"/>
      <c r="I377" s="14"/>
      <c r="J377" s="14"/>
      <c r="K377" s="15"/>
      <c r="P377" s="15"/>
      <c r="R377" s="16"/>
    </row>
    <row r="378" ht="15.75" customHeight="1">
      <c r="B378" s="12"/>
      <c r="C378" s="12"/>
      <c r="D378" s="12"/>
      <c r="E378" s="12"/>
      <c r="I378" s="14"/>
      <c r="J378" s="14"/>
      <c r="K378" s="15"/>
      <c r="P378" s="15"/>
      <c r="R378" s="16"/>
    </row>
    <row r="379" ht="15.75" customHeight="1">
      <c r="B379" s="12"/>
      <c r="C379" s="12"/>
      <c r="D379" s="12"/>
      <c r="E379" s="12"/>
      <c r="I379" s="14"/>
      <c r="J379" s="14"/>
      <c r="K379" s="15"/>
      <c r="P379" s="15"/>
      <c r="R379" s="16"/>
    </row>
    <row r="380" ht="15.75" customHeight="1">
      <c r="B380" s="12"/>
      <c r="C380" s="12"/>
      <c r="D380" s="12"/>
      <c r="E380" s="12"/>
      <c r="I380" s="14"/>
      <c r="J380" s="14"/>
      <c r="K380" s="15"/>
      <c r="P380" s="15"/>
      <c r="R380" s="16"/>
    </row>
    <row r="381" ht="15.75" customHeight="1">
      <c r="B381" s="12"/>
      <c r="C381" s="12"/>
      <c r="D381" s="12"/>
      <c r="E381" s="12"/>
      <c r="I381" s="14"/>
      <c r="J381" s="14"/>
      <c r="K381" s="15"/>
      <c r="P381" s="15"/>
      <c r="R381" s="16"/>
    </row>
    <row r="382" ht="15.75" customHeight="1">
      <c r="B382" s="12"/>
      <c r="C382" s="12"/>
      <c r="D382" s="12"/>
      <c r="E382" s="12"/>
      <c r="I382" s="14"/>
      <c r="J382" s="14"/>
      <c r="K382" s="15"/>
      <c r="P382" s="15"/>
      <c r="R382" s="16"/>
    </row>
    <row r="383" ht="15.75" customHeight="1">
      <c r="B383" s="12"/>
      <c r="C383" s="12"/>
      <c r="D383" s="12"/>
      <c r="E383" s="12"/>
      <c r="I383" s="14"/>
      <c r="J383" s="14"/>
      <c r="K383" s="15"/>
      <c r="P383" s="15"/>
      <c r="R383" s="16"/>
    </row>
    <row r="384" ht="15.75" customHeight="1">
      <c r="B384" s="12"/>
      <c r="C384" s="12"/>
      <c r="D384" s="12"/>
      <c r="E384" s="12"/>
      <c r="I384" s="14"/>
      <c r="J384" s="14"/>
      <c r="K384" s="15"/>
      <c r="P384" s="15"/>
      <c r="R384" s="16"/>
    </row>
    <row r="385" ht="15.75" customHeight="1">
      <c r="B385" s="12"/>
      <c r="C385" s="12"/>
      <c r="D385" s="12"/>
      <c r="E385" s="12"/>
      <c r="I385" s="14"/>
      <c r="J385" s="14"/>
      <c r="K385" s="15"/>
      <c r="P385" s="15"/>
      <c r="R385" s="16"/>
    </row>
    <row r="386" ht="15.75" customHeight="1">
      <c r="B386" s="12"/>
      <c r="C386" s="12"/>
      <c r="D386" s="12"/>
      <c r="E386" s="12"/>
      <c r="I386" s="14"/>
      <c r="J386" s="14"/>
      <c r="K386" s="15"/>
      <c r="P386" s="15"/>
      <c r="R386" s="16"/>
    </row>
    <row r="387" ht="15.75" customHeight="1">
      <c r="B387" s="12"/>
      <c r="C387" s="12"/>
      <c r="D387" s="12"/>
      <c r="E387" s="12"/>
      <c r="I387" s="14"/>
      <c r="J387" s="14"/>
      <c r="K387" s="15"/>
      <c r="P387" s="15"/>
      <c r="R387" s="16"/>
    </row>
    <row r="388" ht="15.75" customHeight="1">
      <c r="B388" s="12"/>
      <c r="C388" s="12"/>
      <c r="D388" s="12"/>
      <c r="E388" s="12"/>
      <c r="I388" s="14"/>
      <c r="J388" s="14"/>
      <c r="K388" s="15"/>
      <c r="P388" s="15"/>
      <c r="R388" s="16"/>
    </row>
    <row r="389" ht="15.75" customHeight="1">
      <c r="B389" s="12"/>
      <c r="C389" s="12"/>
      <c r="D389" s="12"/>
      <c r="E389" s="12"/>
      <c r="I389" s="14"/>
      <c r="J389" s="14"/>
      <c r="K389" s="15"/>
      <c r="P389" s="15"/>
      <c r="R389" s="16"/>
    </row>
    <row r="390" ht="15.75" customHeight="1">
      <c r="B390" s="12"/>
      <c r="C390" s="12"/>
      <c r="D390" s="12"/>
      <c r="E390" s="12"/>
      <c r="I390" s="14"/>
      <c r="J390" s="14"/>
      <c r="K390" s="15"/>
      <c r="P390" s="15"/>
      <c r="R390" s="16"/>
    </row>
    <row r="391" ht="15.75" customHeight="1">
      <c r="B391" s="12"/>
      <c r="C391" s="12"/>
      <c r="D391" s="12"/>
      <c r="E391" s="12"/>
      <c r="I391" s="14"/>
      <c r="J391" s="14"/>
      <c r="K391" s="15"/>
      <c r="P391" s="15"/>
      <c r="R391" s="16"/>
    </row>
    <row r="392" ht="15.75" customHeight="1">
      <c r="B392" s="12"/>
      <c r="C392" s="12"/>
      <c r="D392" s="12"/>
      <c r="E392" s="12"/>
      <c r="I392" s="14"/>
      <c r="J392" s="14"/>
      <c r="K392" s="15"/>
      <c r="P392" s="15"/>
      <c r="R392" s="16"/>
    </row>
    <row r="393" ht="15.75" customHeight="1">
      <c r="B393" s="12"/>
      <c r="C393" s="12"/>
      <c r="D393" s="12"/>
      <c r="E393" s="12"/>
      <c r="I393" s="14"/>
      <c r="J393" s="14"/>
      <c r="K393" s="15"/>
      <c r="P393" s="15"/>
      <c r="R393" s="16"/>
    </row>
    <row r="394" ht="15.75" customHeight="1">
      <c r="B394" s="12"/>
      <c r="C394" s="12"/>
      <c r="D394" s="12"/>
      <c r="E394" s="12"/>
      <c r="I394" s="14"/>
      <c r="J394" s="14"/>
      <c r="K394" s="15"/>
      <c r="P394" s="15"/>
      <c r="R394" s="16"/>
    </row>
    <row r="395" ht="15.75" customHeight="1">
      <c r="B395" s="12"/>
      <c r="C395" s="12"/>
      <c r="D395" s="12"/>
      <c r="E395" s="12"/>
      <c r="I395" s="14"/>
      <c r="J395" s="14"/>
      <c r="K395" s="15"/>
      <c r="P395" s="15"/>
      <c r="R395" s="16"/>
    </row>
    <row r="396" ht="15.75" customHeight="1">
      <c r="B396" s="12"/>
      <c r="C396" s="12"/>
      <c r="D396" s="12"/>
      <c r="E396" s="12"/>
      <c r="I396" s="14"/>
      <c r="J396" s="14"/>
      <c r="K396" s="15"/>
      <c r="P396" s="15"/>
      <c r="R396" s="16"/>
    </row>
    <row r="397" ht="15.75" customHeight="1">
      <c r="B397" s="12"/>
      <c r="C397" s="12"/>
      <c r="D397" s="12"/>
      <c r="E397" s="12"/>
      <c r="I397" s="14"/>
      <c r="J397" s="14"/>
      <c r="K397" s="15"/>
      <c r="P397" s="15"/>
      <c r="R397" s="16"/>
    </row>
    <row r="398" ht="15.75" customHeight="1">
      <c r="B398" s="12"/>
      <c r="C398" s="12"/>
      <c r="D398" s="12"/>
      <c r="E398" s="12"/>
      <c r="I398" s="14"/>
      <c r="J398" s="14"/>
      <c r="K398" s="15"/>
      <c r="P398" s="15"/>
      <c r="R398" s="16"/>
    </row>
    <row r="399" ht="15.75" customHeight="1">
      <c r="B399" s="12"/>
      <c r="C399" s="12"/>
      <c r="D399" s="12"/>
      <c r="E399" s="12"/>
      <c r="I399" s="14"/>
      <c r="J399" s="14"/>
      <c r="K399" s="15"/>
      <c r="P399" s="15"/>
      <c r="R399" s="16"/>
    </row>
    <row r="400" ht="15.75" customHeight="1">
      <c r="B400" s="12"/>
      <c r="C400" s="12"/>
      <c r="D400" s="12"/>
      <c r="E400" s="12"/>
      <c r="I400" s="14"/>
      <c r="J400" s="14"/>
      <c r="K400" s="15"/>
      <c r="P400" s="15"/>
      <c r="R400" s="16"/>
    </row>
    <row r="401" ht="15.75" customHeight="1">
      <c r="B401" s="12"/>
      <c r="C401" s="12"/>
      <c r="D401" s="12"/>
      <c r="E401" s="12"/>
      <c r="I401" s="14"/>
      <c r="J401" s="14"/>
      <c r="K401" s="15"/>
      <c r="P401" s="15"/>
      <c r="R401" s="16"/>
    </row>
    <row r="402" ht="15.75" customHeight="1">
      <c r="B402" s="12"/>
      <c r="C402" s="12"/>
      <c r="D402" s="12"/>
      <c r="E402" s="12"/>
      <c r="I402" s="14"/>
      <c r="J402" s="14"/>
      <c r="K402" s="15"/>
      <c r="P402" s="15"/>
      <c r="R402" s="16"/>
    </row>
    <row r="403" ht="15.75" customHeight="1">
      <c r="B403" s="12"/>
      <c r="C403" s="12"/>
      <c r="D403" s="12"/>
      <c r="E403" s="12"/>
      <c r="I403" s="14"/>
      <c r="J403" s="14"/>
      <c r="K403" s="15"/>
      <c r="P403" s="15"/>
      <c r="R403" s="16"/>
    </row>
    <row r="404" ht="15.75" customHeight="1">
      <c r="B404" s="12"/>
      <c r="C404" s="12"/>
      <c r="D404" s="12"/>
      <c r="E404" s="12"/>
      <c r="I404" s="14"/>
      <c r="J404" s="14"/>
      <c r="K404" s="15"/>
      <c r="P404" s="15"/>
      <c r="R404" s="16"/>
    </row>
    <row r="405" ht="15.75" customHeight="1">
      <c r="B405" s="12"/>
      <c r="C405" s="12"/>
      <c r="D405" s="12"/>
      <c r="E405" s="12"/>
      <c r="I405" s="14"/>
      <c r="J405" s="14"/>
      <c r="K405" s="15"/>
      <c r="P405" s="15"/>
      <c r="R405" s="16"/>
    </row>
    <row r="406" ht="15.75" customHeight="1">
      <c r="B406" s="12"/>
      <c r="C406" s="12"/>
      <c r="D406" s="12"/>
      <c r="E406" s="12"/>
      <c r="I406" s="14"/>
      <c r="J406" s="14"/>
      <c r="K406" s="15"/>
      <c r="P406" s="15"/>
      <c r="R406" s="16"/>
    </row>
    <row r="407" ht="15.75" customHeight="1">
      <c r="B407" s="12"/>
      <c r="C407" s="12"/>
      <c r="D407" s="12"/>
      <c r="E407" s="12"/>
      <c r="I407" s="14"/>
      <c r="J407" s="14"/>
      <c r="K407" s="15"/>
      <c r="P407" s="15"/>
      <c r="R407" s="16"/>
    </row>
    <row r="408" ht="15.75" customHeight="1">
      <c r="B408" s="12"/>
      <c r="C408" s="12"/>
      <c r="D408" s="12"/>
      <c r="E408" s="12"/>
      <c r="I408" s="14"/>
      <c r="J408" s="14"/>
      <c r="K408" s="15"/>
      <c r="P408" s="15"/>
      <c r="R408" s="16"/>
    </row>
    <row r="409" ht="15.75" customHeight="1">
      <c r="B409" s="12"/>
      <c r="C409" s="12"/>
      <c r="D409" s="12"/>
      <c r="E409" s="12"/>
      <c r="I409" s="14"/>
      <c r="J409" s="14"/>
      <c r="K409" s="15"/>
      <c r="P409" s="15"/>
      <c r="R409" s="16"/>
    </row>
    <row r="410" ht="15.75" customHeight="1">
      <c r="B410" s="12"/>
      <c r="C410" s="12"/>
      <c r="D410" s="12"/>
      <c r="E410" s="12"/>
      <c r="I410" s="14"/>
      <c r="J410" s="14"/>
      <c r="K410" s="15"/>
      <c r="P410" s="15"/>
      <c r="R410" s="16"/>
    </row>
    <row r="411" ht="15.75" customHeight="1">
      <c r="B411" s="12"/>
      <c r="C411" s="12"/>
      <c r="D411" s="12"/>
      <c r="E411" s="12"/>
      <c r="I411" s="14"/>
      <c r="J411" s="14"/>
      <c r="K411" s="15"/>
      <c r="P411" s="15"/>
      <c r="R411" s="16"/>
    </row>
    <row r="412" ht="15.75" customHeight="1">
      <c r="B412" s="12"/>
      <c r="C412" s="12"/>
      <c r="D412" s="12"/>
      <c r="E412" s="12"/>
      <c r="I412" s="14"/>
      <c r="J412" s="14"/>
      <c r="K412" s="15"/>
      <c r="P412" s="15"/>
      <c r="R412" s="16"/>
    </row>
    <row r="413" ht="15.75" customHeight="1">
      <c r="B413" s="12"/>
      <c r="C413" s="12"/>
      <c r="D413" s="12"/>
      <c r="E413" s="12"/>
      <c r="I413" s="14"/>
      <c r="J413" s="14"/>
      <c r="K413" s="15"/>
      <c r="P413" s="15"/>
      <c r="R413" s="16"/>
    </row>
    <row r="414" ht="15.75" customHeight="1">
      <c r="B414" s="12"/>
      <c r="C414" s="12"/>
      <c r="D414" s="12"/>
      <c r="E414" s="12"/>
      <c r="I414" s="14"/>
      <c r="J414" s="14"/>
      <c r="K414" s="15"/>
      <c r="P414" s="15"/>
      <c r="R414" s="16"/>
    </row>
    <row r="415" ht="15.75" customHeight="1">
      <c r="B415" s="12"/>
      <c r="C415" s="12"/>
      <c r="D415" s="12"/>
      <c r="E415" s="12"/>
      <c r="I415" s="14"/>
      <c r="J415" s="14"/>
      <c r="K415" s="15"/>
      <c r="P415" s="15"/>
      <c r="R415" s="16"/>
    </row>
    <row r="416" ht="15.75" customHeight="1">
      <c r="B416" s="12"/>
      <c r="C416" s="12"/>
      <c r="D416" s="12"/>
      <c r="E416" s="12"/>
      <c r="I416" s="14"/>
      <c r="J416" s="14"/>
      <c r="K416" s="15"/>
      <c r="P416" s="15"/>
      <c r="R416" s="16"/>
    </row>
    <row r="417" ht="15.75" customHeight="1">
      <c r="B417" s="12"/>
      <c r="C417" s="12"/>
      <c r="D417" s="12"/>
      <c r="E417" s="12"/>
      <c r="I417" s="14"/>
      <c r="J417" s="14"/>
      <c r="K417" s="15"/>
      <c r="P417" s="15"/>
      <c r="R417" s="16"/>
    </row>
    <row r="418" ht="15.75" customHeight="1">
      <c r="B418" s="12"/>
      <c r="C418" s="12"/>
      <c r="D418" s="12"/>
      <c r="E418" s="12"/>
      <c r="I418" s="14"/>
      <c r="J418" s="14"/>
      <c r="K418" s="15"/>
      <c r="P418" s="15"/>
      <c r="R418" s="16"/>
    </row>
    <row r="419" ht="15.75" customHeight="1">
      <c r="B419" s="12"/>
      <c r="C419" s="12"/>
      <c r="D419" s="12"/>
      <c r="E419" s="12"/>
      <c r="I419" s="14"/>
      <c r="J419" s="14"/>
      <c r="K419" s="15"/>
      <c r="P419" s="15"/>
      <c r="R419" s="16"/>
    </row>
    <row r="420" ht="15.75" customHeight="1">
      <c r="B420" s="12"/>
      <c r="C420" s="12"/>
      <c r="D420" s="12"/>
      <c r="E420" s="12"/>
      <c r="I420" s="14"/>
      <c r="J420" s="14"/>
      <c r="K420" s="15"/>
      <c r="P420" s="15"/>
      <c r="R420" s="16"/>
    </row>
    <row r="421" ht="15.75" customHeight="1">
      <c r="B421" s="12"/>
      <c r="C421" s="12"/>
      <c r="D421" s="12"/>
      <c r="E421" s="12"/>
      <c r="I421" s="14"/>
      <c r="J421" s="14"/>
      <c r="K421" s="15"/>
      <c r="P421" s="15"/>
      <c r="R421" s="16"/>
    </row>
    <row r="422" ht="15.75" customHeight="1">
      <c r="B422" s="12"/>
      <c r="C422" s="12"/>
      <c r="D422" s="12"/>
      <c r="E422" s="12"/>
      <c r="I422" s="14"/>
      <c r="J422" s="14"/>
      <c r="K422" s="15"/>
      <c r="P422" s="15"/>
      <c r="R422" s="16"/>
    </row>
    <row r="423" ht="15.75" customHeight="1">
      <c r="B423" s="12"/>
      <c r="C423" s="12"/>
      <c r="D423" s="12"/>
      <c r="E423" s="12"/>
      <c r="I423" s="14"/>
      <c r="J423" s="14"/>
      <c r="K423" s="15"/>
      <c r="P423" s="15"/>
      <c r="R423" s="16"/>
    </row>
    <row r="424" ht="15.75" customHeight="1">
      <c r="B424" s="12"/>
      <c r="C424" s="12"/>
      <c r="D424" s="12"/>
      <c r="E424" s="12"/>
      <c r="I424" s="14"/>
      <c r="J424" s="14"/>
      <c r="K424" s="15"/>
      <c r="P424" s="15"/>
      <c r="R424" s="16"/>
    </row>
    <row r="425" ht="15.75" customHeight="1">
      <c r="B425" s="12"/>
      <c r="C425" s="12"/>
      <c r="D425" s="12"/>
      <c r="E425" s="12"/>
      <c r="I425" s="14"/>
      <c r="J425" s="14"/>
      <c r="K425" s="15"/>
      <c r="P425" s="15"/>
      <c r="R425" s="16"/>
    </row>
    <row r="426" ht="15.75" customHeight="1">
      <c r="B426" s="12"/>
      <c r="C426" s="12"/>
      <c r="D426" s="12"/>
      <c r="E426" s="12"/>
      <c r="I426" s="14"/>
      <c r="J426" s="14"/>
      <c r="K426" s="15"/>
      <c r="P426" s="15"/>
      <c r="R426" s="16"/>
    </row>
    <row r="427" ht="15.75" customHeight="1">
      <c r="B427" s="12"/>
      <c r="C427" s="12"/>
      <c r="D427" s="12"/>
      <c r="E427" s="12"/>
      <c r="I427" s="14"/>
      <c r="J427" s="14"/>
      <c r="K427" s="15"/>
      <c r="P427" s="15"/>
      <c r="R427" s="16"/>
    </row>
    <row r="428" ht="15.75" customHeight="1">
      <c r="B428" s="12"/>
      <c r="C428" s="12"/>
      <c r="D428" s="12"/>
      <c r="E428" s="12"/>
      <c r="I428" s="14"/>
      <c r="J428" s="14"/>
      <c r="K428" s="15"/>
      <c r="P428" s="15"/>
      <c r="R428" s="16"/>
    </row>
    <row r="429" ht="15.75" customHeight="1">
      <c r="B429" s="12"/>
      <c r="C429" s="12"/>
      <c r="D429" s="12"/>
      <c r="E429" s="12"/>
      <c r="I429" s="14"/>
      <c r="J429" s="14"/>
      <c r="K429" s="15"/>
      <c r="P429" s="15"/>
      <c r="R429" s="16"/>
    </row>
    <row r="430" ht="15.75" customHeight="1">
      <c r="B430" s="12"/>
      <c r="C430" s="12"/>
      <c r="D430" s="12"/>
      <c r="E430" s="12"/>
      <c r="I430" s="14"/>
      <c r="J430" s="14"/>
      <c r="K430" s="15"/>
      <c r="P430" s="15"/>
      <c r="R430" s="16"/>
    </row>
    <row r="431" ht="15.75" customHeight="1">
      <c r="B431" s="12"/>
      <c r="C431" s="12"/>
      <c r="D431" s="12"/>
      <c r="E431" s="12"/>
      <c r="I431" s="14"/>
      <c r="J431" s="14"/>
      <c r="K431" s="15"/>
      <c r="P431" s="15"/>
      <c r="R431" s="16"/>
    </row>
    <row r="432" ht="15.75" customHeight="1">
      <c r="B432" s="12"/>
      <c r="C432" s="12"/>
      <c r="D432" s="12"/>
      <c r="E432" s="12"/>
      <c r="I432" s="14"/>
      <c r="J432" s="14"/>
      <c r="K432" s="15"/>
      <c r="P432" s="15"/>
      <c r="R432" s="16"/>
    </row>
    <row r="433" ht="15.75" customHeight="1">
      <c r="B433" s="12"/>
      <c r="C433" s="12"/>
      <c r="D433" s="12"/>
      <c r="E433" s="12"/>
      <c r="I433" s="14"/>
      <c r="J433" s="14"/>
      <c r="K433" s="15"/>
      <c r="P433" s="15"/>
      <c r="R433" s="16"/>
    </row>
    <row r="434" ht="15.75" customHeight="1">
      <c r="B434" s="12"/>
      <c r="C434" s="12"/>
      <c r="D434" s="12"/>
      <c r="E434" s="12"/>
      <c r="I434" s="14"/>
      <c r="J434" s="14"/>
      <c r="K434" s="15"/>
      <c r="P434" s="15"/>
      <c r="R434" s="16"/>
    </row>
    <row r="435" ht="15.75" customHeight="1">
      <c r="B435" s="12"/>
      <c r="C435" s="12"/>
      <c r="D435" s="12"/>
      <c r="E435" s="12"/>
      <c r="I435" s="14"/>
      <c r="J435" s="14"/>
      <c r="K435" s="15"/>
      <c r="P435" s="15"/>
      <c r="R435" s="16"/>
    </row>
    <row r="436" ht="15.75" customHeight="1">
      <c r="B436" s="12"/>
      <c r="C436" s="12"/>
      <c r="D436" s="12"/>
      <c r="E436" s="12"/>
      <c r="I436" s="14"/>
      <c r="J436" s="14"/>
      <c r="K436" s="15"/>
      <c r="P436" s="15"/>
      <c r="R436" s="16"/>
    </row>
    <row r="437" ht="15.75" customHeight="1">
      <c r="B437" s="12"/>
      <c r="C437" s="12"/>
      <c r="D437" s="12"/>
      <c r="E437" s="12"/>
      <c r="I437" s="14"/>
      <c r="J437" s="14"/>
      <c r="K437" s="15"/>
      <c r="P437" s="15"/>
      <c r="R437" s="16"/>
    </row>
    <row r="438" ht="15.75" customHeight="1">
      <c r="B438" s="12"/>
      <c r="C438" s="12"/>
      <c r="D438" s="12"/>
      <c r="E438" s="12"/>
      <c r="I438" s="14"/>
      <c r="J438" s="14"/>
      <c r="K438" s="15"/>
      <c r="P438" s="15"/>
      <c r="R438" s="16"/>
    </row>
    <row r="439" ht="15.75" customHeight="1">
      <c r="B439" s="12"/>
      <c r="C439" s="12"/>
      <c r="D439" s="12"/>
      <c r="E439" s="12"/>
      <c r="I439" s="14"/>
      <c r="J439" s="14"/>
      <c r="K439" s="15"/>
      <c r="P439" s="15"/>
      <c r="R439" s="16"/>
    </row>
    <row r="440" ht="15.75" customHeight="1">
      <c r="B440" s="12"/>
      <c r="C440" s="12"/>
      <c r="D440" s="12"/>
      <c r="E440" s="12"/>
      <c r="I440" s="14"/>
      <c r="J440" s="14"/>
      <c r="K440" s="15"/>
      <c r="P440" s="15"/>
      <c r="R440" s="16"/>
    </row>
    <row r="441" ht="15.75" customHeight="1">
      <c r="B441" s="12"/>
      <c r="C441" s="12"/>
      <c r="D441" s="12"/>
      <c r="E441" s="12"/>
      <c r="I441" s="14"/>
      <c r="J441" s="14"/>
      <c r="K441" s="15"/>
      <c r="P441" s="15"/>
      <c r="R441" s="16"/>
    </row>
    <row r="442" ht="15.75" customHeight="1">
      <c r="B442" s="12"/>
      <c r="C442" s="12"/>
      <c r="D442" s="12"/>
      <c r="E442" s="12"/>
      <c r="I442" s="14"/>
      <c r="J442" s="14"/>
      <c r="K442" s="15"/>
      <c r="P442" s="15"/>
      <c r="R442" s="16"/>
    </row>
    <row r="443" ht="15.75" customHeight="1">
      <c r="B443" s="12"/>
      <c r="C443" s="12"/>
      <c r="D443" s="12"/>
      <c r="E443" s="12"/>
      <c r="I443" s="14"/>
      <c r="J443" s="14"/>
      <c r="K443" s="15"/>
      <c r="P443" s="15"/>
      <c r="R443" s="16"/>
    </row>
    <row r="444" ht="15.75" customHeight="1">
      <c r="B444" s="12"/>
      <c r="C444" s="12"/>
      <c r="D444" s="12"/>
      <c r="E444" s="12"/>
      <c r="I444" s="14"/>
      <c r="J444" s="14"/>
      <c r="K444" s="15"/>
      <c r="P444" s="15"/>
      <c r="R444" s="16"/>
    </row>
    <row r="445" ht="15.75" customHeight="1">
      <c r="B445" s="12"/>
      <c r="C445" s="12"/>
      <c r="D445" s="12"/>
      <c r="E445" s="12"/>
      <c r="I445" s="14"/>
      <c r="J445" s="14"/>
      <c r="K445" s="15"/>
      <c r="P445" s="15"/>
      <c r="R445" s="16"/>
    </row>
    <row r="446" ht="15.75" customHeight="1">
      <c r="B446" s="12"/>
      <c r="C446" s="12"/>
      <c r="D446" s="12"/>
      <c r="E446" s="12"/>
      <c r="I446" s="14"/>
      <c r="J446" s="14"/>
      <c r="K446" s="15"/>
      <c r="P446" s="15"/>
      <c r="R446" s="16"/>
    </row>
    <row r="447" ht="15.75" customHeight="1">
      <c r="B447" s="12"/>
      <c r="C447" s="12"/>
      <c r="D447" s="12"/>
      <c r="E447" s="12"/>
      <c r="I447" s="14"/>
      <c r="J447" s="14"/>
      <c r="K447" s="15"/>
      <c r="P447" s="15"/>
      <c r="R447" s="16"/>
    </row>
    <row r="448" ht="15.75" customHeight="1">
      <c r="B448" s="12"/>
      <c r="C448" s="12"/>
      <c r="D448" s="12"/>
      <c r="E448" s="12"/>
      <c r="I448" s="14"/>
      <c r="J448" s="14"/>
      <c r="K448" s="15"/>
      <c r="P448" s="15"/>
      <c r="R448" s="16"/>
    </row>
    <row r="449" ht="15.75" customHeight="1">
      <c r="B449" s="12"/>
      <c r="C449" s="12"/>
      <c r="D449" s="12"/>
      <c r="E449" s="12"/>
      <c r="I449" s="14"/>
      <c r="J449" s="14"/>
      <c r="K449" s="15"/>
      <c r="P449" s="15"/>
      <c r="R449" s="16"/>
    </row>
    <row r="450" ht="15.75" customHeight="1">
      <c r="B450" s="12"/>
      <c r="C450" s="12"/>
      <c r="D450" s="12"/>
      <c r="E450" s="12"/>
      <c r="I450" s="14"/>
      <c r="J450" s="14"/>
      <c r="K450" s="15"/>
      <c r="P450" s="15"/>
      <c r="R450" s="16"/>
    </row>
    <row r="451" ht="15.75" customHeight="1">
      <c r="B451" s="12"/>
      <c r="C451" s="12"/>
      <c r="D451" s="12"/>
      <c r="E451" s="12"/>
      <c r="I451" s="14"/>
      <c r="J451" s="14"/>
      <c r="K451" s="15"/>
      <c r="P451" s="15"/>
      <c r="R451" s="16"/>
    </row>
    <row r="452" ht="15.75" customHeight="1">
      <c r="B452" s="12"/>
      <c r="C452" s="12"/>
      <c r="D452" s="12"/>
      <c r="E452" s="12"/>
      <c r="I452" s="14"/>
      <c r="J452" s="14"/>
      <c r="K452" s="15"/>
      <c r="P452" s="15"/>
      <c r="R452" s="16"/>
    </row>
    <row r="453" ht="15.75" customHeight="1">
      <c r="B453" s="12"/>
      <c r="C453" s="12"/>
      <c r="D453" s="12"/>
      <c r="E453" s="12"/>
      <c r="I453" s="14"/>
      <c r="J453" s="14"/>
      <c r="K453" s="15"/>
      <c r="P453" s="15"/>
      <c r="R453" s="16"/>
    </row>
    <row r="454" ht="15.75" customHeight="1">
      <c r="B454" s="12"/>
      <c r="C454" s="12"/>
      <c r="D454" s="12"/>
      <c r="E454" s="12"/>
      <c r="I454" s="14"/>
      <c r="J454" s="14"/>
      <c r="K454" s="15"/>
      <c r="P454" s="15"/>
      <c r="R454" s="16"/>
    </row>
    <row r="455" ht="15.75" customHeight="1">
      <c r="B455" s="12"/>
      <c r="C455" s="12"/>
      <c r="D455" s="12"/>
      <c r="E455" s="12"/>
      <c r="I455" s="14"/>
      <c r="J455" s="14"/>
      <c r="K455" s="15"/>
      <c r="P455" s="15"/>
      <c r="R455" s="16"/>
    </row>
    <row r="456" ht="15.75" customHeight="1">
      <c r="B456" s="12"/>
      <c r="C456" s="12"/>
      <c r="D456" s="12"/>
      <c r="E456" s="12"/>
      <c r="I456" s="14"/>
      <c r="J456" s="14"/>
      <c r="K456" s="15"/>
      <c r="P456" s="15"/>
      <c r="R456" s="16"/>
    </row>
    <row r="457" ht="15.75" customHeight="1">
      <c r="B457" s="12"/>
      <c r="C457" s="12"/>
      <c r="D457" s="12"/>
      <c r="E457" s="12"/>
      <c r="I457" s="14"/>
      <c r="J457" s="14"/>
      <c r="K457" s="15"/>
      <c r="P457" s="15"/>
      <c r="R457" s="16"/>
    </row>
    <row r="458" ht="15.75" customHeight="1">
      <c r="B458" s="12"/>
      <c r="C458" s="12"/>
      <c r="D458" s="12"/>
      <c r="E458" s="12"/>
      <c r="I458" s="14"/>
      <c r="J458" s="14"/>
      <c r="K458" s="15"/>
      <c r="P458" s="15"/>
      <c r="R458" s="16"/>
    </row>
    <row r="459" ht="15.75" customHeight="1">
      <c r="B459" s="12"/>
      <c r="C459" s="12"/>
      <c r="D459" s="12"/>
      <c r="E459" s="12"/>
      <c r="I459" s="14"/>
      <c r="J459" s="14"/>
      <c r="K459" s="15"/>
      <c r="P459" s="15"/>
      <c r="R459" s="16"/>
    </row>
    <row r="460" ht="15.75" customHeight="1">
      <c r="B460" s="12"/>
      <c r="C460" s="12"/>
      <c r="D460" s="12"/>
      <c r="E460" s="12"/>
      <c r="I460" s="14"/>
      <c r="J460" s="14"/>
      <c r="K460" s="15"/>
      <c r="P460" s="15"/>
      <c r="R460" s="16"/>
    </row>
    <row r="461" ht="15.75" customHeight="1">
      <c r="B461" s="12"/>
      <c r="C461" s="12"/>
      <c r="D461" s="12"/>
      <c r="E461" s="12"/>
      <c r="I461" s="14"/>
      <c r="J461" s="14"/>
      <c r="K461" s="15"/>
      <c r="P461" s="15"/>
      <c r="R461" s="16"/>
    </row>
    <row r="462" ht="15.75" customHeight="1">
      <c r="B462" s="12"/>
      <c r="C462" s="12"/>
      <c r="D462" s="12"/>
      <c r="E462" s="12"/>
      <c r="I462" s="14"/>
      <c r="J462" s="14"/>
      <c r="K462" s="15"/>
      <c r="P462" s="15"/>
      <c r="R462" s="16"/>
    </row>
    <row r="463" ht="15.75" customHeight="1">
      <c r="B463" s="12"/>
      <c r="C463" s="12"/>
      <c r="D463" s="12"/>
      <c r="E463" s="12"/>
      <c r="I463" s="14"/>
      <c r="J463" s="14"/>
      <c r="K463" s="15"/>
      <c r="P463" s="15"/>
      <c r="R463" s="16"/>
    </row>
    <row r="464" ht="15.75" customHeight="1">
      <c r="B464" s="12"/>
      <c r="C464" s="12"/>
      <c r="D464" s="12"/>
      <c r="E464" s="12"/>
      <c r="I464" s="14"/>
      <c r="J464" s="14"/>
      <c r="K464" s="15"/>
      <c r="P464" s="15"/>
      <c r="R464" s="16"/>
    </row>
    <row r="465" ht="15.75" customHeight="1">
      <c r="B465" s="12"/>
      <c r="C465" s="12"/>
      <c r="D465" s="12"/>
      <c r="E465" s="12"/>
      <c r="I465" s="14"/>
      <c r="J465" s="14"/>
      <c r="K465" s="15"/>
      <c r="P465" s="15"/>
      <c r="R465" s="16"/>
    </row>
    <row r="466" ht="15.75" customHeight="1">
      <c r="B466" s="12"/>
      <c r="C466" s="12"/>
      <c r="D466" s="12"/>
      <c r="E466" s="12"/>
      <c r="I466" s="14"/>
      <c r="J466" s="14"/>
      <c r="K466" s="15"/>
      <c r="P466" s="15"/>
      <c r="R466" s="16"/>
    </row>
    <row r="467" ht="15.75" customHeight="1">
      <c r="B467" s="12"/>
      <c r="C467" s="12"/>
      <c r="D467" s="12"/>
      <c r="E467" s="12"/>
      <c r="I467" s="14"/>
      <c r="J467" s="14"/>
      <c r="K467" s="15"/>
      <c r="P467" s="15"/>
      <c r="R467" s="16"/>
    </row>
    <row r="468" ht="15.75" customHeight="1">
      <c r="B468" s="12"/>
      <c r="C468" s="12"/>
      <c r="D468" s="12"/>
      <c r="E468" s="12"/>
      <c r="I468" s="14"/>
      <c r="J468" s="14"/>
      <c r="K468" s="15"/>
      <c r="P468" s="15"/>
      <c r="R468" s="16"/>
    </row>
    <row r="469" ht="15.75" customHeight="1">
      <c r="B469" s="12"/>
      <c r="C469" s="12"/>
      <c r="D469" s="12"/>
      <c r="E469" s="12"/>
      <c r="I469" s="14"/>
      <c r="J469" s="14"/>
      <c r="K469" s="15"/>
      <c r="P469" s="15"/>
      <c r="R469" s="16"/>
    </row>
    <row r="470" ht="15.75" customHeight="1">
      <c r="B470" s="12"/>
      <c r="C470" s="12"/>
      <c r="D470" s="12"/>
      <c r="E470" s="12"/>
      <c r="I470" s="14"/>
      <c r="J470" s="14"/>
      <c r="K470" s="15"/>
      <c r="P470" s="15"/>
      <c r="R470" s="16"/>
    </row>
    <row r="471" ht="15.75" customHeight="1">
      <c r="B471" s="12"/>
      <c r="C471" s="12"/>
      <c r="D471" s="12"/>
      <c r="E471" s="12"/>
      <c r="I471" s="14"/>
      <c r="J471" s="14"/>
      <c r="K471" s="15"/>
      <c r="P471" s="15"/>
      <c r="R471" s="16"/>
    </row>
    <row r="472" ht="15.75" customHeight="1">
      <c r="B472" s="12"/>
      <c r="C472" s="12"/>
      <c r="D472" s="12"/>
      <c r="E472" s="12"/>
      <c r="I472" s="14"/>
      <c r="J472" s="14"/>
      <c r="K472" s="15"/>
      <c r="P472" s="15"/>
      <c r="R472" s="16"/>
    </row>
    <row r="473" ht="15.75" customHeight="1">
      <c r="B473" s="12"/>
      <c r="C473" s="12"/>
      <c r="D473" s="12"/>
      <c r="E473" s="12"/>
      <c r="I473" s="14"/>
      <c r="J473" s="14"/>
      <c r="K473" s="15"/>
      <c r="P473" s="15"/>
      <c r="R473" s="16"/>
    </row>
    <row r="474" ht="15.75" customHeight="1">
      <c r="B474" s="12"/>
      <c r="C474" s="12"/>
      <c r="D474" s="12"/>
      <c r="E474" s="12"/>
      <c r="I474" s="14"/>
      <c r="J474" s="14"/>
      <c r="K474" s="15"/>
      <c r="P474" s="15"/>
      <c r="R474" s="16"/>
    </row>
    <row r="475" ht="15.75" customHeight="1">
      <c r="B475" s="12"/>
      <c r="C475" s="12"/>
      <c r="D475" s="12"/>
      <c r="E475" s="12"/>
      <c r="I475" s="14"/>
      <c r="J475" s="14"/>
      <c r="K475" s="15"/>
      <c r="P475" s="15"/>
      <c r="R475" s="16"/>
    </row>
    <row r="476" ht="15.75" customHeight="1">
      <c r="B476" s="12"/>
      <c r="C476" s="12"/>
      <c r="D476" s="12"/>
      <c r="E476" s="12"/>
      <c r="I476" s="14"/>
      <c r="J476" s="14"/>
      <c r="K476" s="15"/>
      <c r="P476" s="15"/>
      <c r="R476" s="16"/>
    </row>
    <row r="477" ht="15.75" customHeight="1">
      <c r="B477" s="12"/>
      <c r="C477" s="12"/>
      <c r="D477" s="12"/>
      <c r="E477" s="12"/>
      <c r="I477" s="14"/>
      <c r="J477" s="14"/>
      <c r="K477" s="15"/>
      <c r="P477" s="15"/>
      <c r="R477" s="16"/>
    </row>
    <row r="478" ht="15.75" customHeight="1">
      <c r="B478" s="12"/>
      <c r="C478" s="12"/>
      <c r="D478" s="12"/>
      <c r="E478" s="12"/>
      <c r="I478" s="14"/>
      <c r="J478" s="14"/>
      <c r="K478" s="15"/>
      <c r="P478" s="15"/>
      <c r="R478" s="16"/>
    </row>
    <row r="479" ht="15.75" customHeight="1">
      <c r="B479" s="12"/>
      <c r="C479" s="12"/>
      <c r="D479" s="12"/>
      <c r="E479" s="12"/>
      <c r="I479" s="14"/>
      <c r="J479" s="14"/>
      <c r="K479" s="15"/>
      <c r="P479" s="15"/>
      <c r="R479" s="16"/>
    </row>
    <row r="480" ht="15.75" customHeight="1">
      <c r="B480" s="12"/>
      <c r="C480" s="12"/>
      <c r="D480" s="12"/>
      <c r="E480" s="12"/>
      <c r="I480" s="14"/>
      <c r="J480" s="14"/>
      <c r="K480" s="15"/>
      <c r="P480" s="15"/>
      <c r="R480" s="16"/>
    </row>
    <row r="481" ht="15.75" customHeight="1">
      <c r="B481" s="12"/>
      <c r="C481" s="12"/>
      <c r="D481" s="12"/>
      <c r="E481" s="12"/>
      <c r="I481" s="14"/>
      <c r="J481" s="14"/>
      <c r="K481" s="15"/>
      <c r="P481" s="15"/>
      <c r="R481" s="16"/>
    </row>
    <row r="482" ht="15.75" customHeight="1">
      <c r="B482" s="12"/>
      <c r="C482" s="12"/>
      <c r="D482" s="12"/>
      <c r="E482" s="12"/>
      <c r="I482" s="14"/>
      <c r="J482" s="14"/>
      <c r="K482" s="15"/>
      <c r="P482" s="15"/>
      <c r="R482" s="16"/>
    </row>
    <row r="483" ht="15.75" customHeight="1">
      <c r="B483" s="12"/>
      <c r="C483" s="12"/>
      <c r="D483" s="12"/>
      <c r="E483" s="12"/>
      <c r="I483" s="14"/>
      <c r="J483" s="14"/>
      <c r="K483" s="15"/>
      <c r="P483" s="15"/>
      <c r="R483" s="16"/>
    </row>
    <row r="484" ht="15.75" customHeight="1">
      <c r="B484" s="12"/>
      <c r="C484" s="12"/>
      <c r="D484" s="12"/>
      <c r="E484" s="12"/>
      <c r="I484" s="14"/>
      <c r="J484" s="14"/>
      <c r="K484" s="15"/>
      <c r="P484" s="15"/>
      <c r="R484" s="16"/>
    </row>
    <row r="485" ht="15.75" customHeight="1">
      <c r="B485" s="12"/>
      <c r="C485" s="12"/>
      <c r="D485" s="12"/>
      <c r="E485" s="12"/>
      <c r="I485" s="14"/>
      <c r="J485" s="14"/>
      <c r="K485" s="15"/>
      <c r="P485" s="15"/>
      <c r="R485" s="16"/>
    </row>
    <row r="486" ht="15.75" customHeight="1">
      <c r="B486" s="12"/>
      <c r="C486" s="12"/>
      <c r="D486" s="12"/>
      <c r="E486" s="12"/>
      <c r="I486" s="14"/>
      <c r="J486" s="14"/>
      <c r="K486" s="15"/>
      <c r="P486" s="15"/>
      <c r="R486" s="16"/>
    </row>
    <row r="487" ht="15.75" customHeight="1">
      <c r="B487" s="12"/>
      <c r="C487" s="12"/>
      <c r="D487" s="12"/>
      <c r="E487" s="12"/>
      <c r="I487" s="14"/>
      <c r="J487" s="14"/>
      <c r="K487" s="15"/>
      <c r="P487" s="15"/>
      <c r="R487" s="16"/>
    </row>
    <row r="488" ht="15.75" customHeight="1">
      <c r="B488" s="12"/>
      <c r="C488" s="12"/>
      <c r="D488" s="12"/>
      <c r="E488" s="12"/>
      <c r="I488" s="14"/>
      <c r="J488" s="14"/>
      <c r="K488" s="15"/>
      <c r="P488" s="15"/>
      <c r="R488" s="16"/>
    </row>
    <row r="489" ht="15.75" customHeight="1">
      <c r="B489" s="12"/>
      <c r="C489" s="12"/>
      <c r="D489" s="12"/>
      <c r="E489" s="12"/>
      <c r="I489" s="14"/>
      <c r="J489" s="14"/>
      <c r="K489" s="15"/>
      <c r="P489" s="15"/>
      <c r="R489" s="16"/>
    </row>
    <row r="490" ht="15.75" customHeight="1">
      <c r="B490" s="12"/>
      <c r="C490" s="12"/>
      <c r="D490" s="12"/>
      <c r="E490" s="12"/>
      <c r="I490" s="14"/>
      <c r="J490" s="14"/>
      <c r="K490" s="15"/>
      <c r="P490" s="15"/>
      <c r="R490" s="16"/>
    </row>
    <row r="491" ht="15.75" customHeight="1">
      <c r="B491" s="12"/>
      <c r="C491" s="12"/>
      <c r="D491" s="12"/>
      <c r="E491" s="12"/>
      <c r="I491" s="14"/>
      <c r="J491" s="14"/>
      <c r="K491" s="15"/>
      <c r="P491" s="15"/>
      <c r="R491" s="16"/>
    </row>
    <row r="492" ht="15.75" customHeight="1">
      <c r="B492" s="12"/>
      <c r="C492" s="12"/>
      <c r="D492" s="12"/>
      <c r="E492" s="12"/>
      <c r="I492" s="14"/>
      <c r="J492" s="14"/>
      <c r="K492" s="15"/>
      <c r="P492" s="15"/>
      <c r="R492" s="16"/>
    </row>
    <row r="493" ht="15.75" customHeight="1">
      <c r="B493" s="12"/>
      <c r="C493" s="12"/>
      <c r="D493" s="12"/>
      <c r="E493" s="12"/>
      <c r="I493" s="14"/>
      <c r="J493" s="14"/>
      <c r="K493" s="15"/>
      <c r="P493" s="15"/>
      <c r="R493" s="16"/>
    </row>
    <row r="494" ht="15.75" customHeight="1">
      <c r="B494" s="12"/>
      <c r="C494" s="12"/>
      <c r="D494" s="12"/>
      <c r="E494" s="12"/>
      <c r="I494" s="14"/>
      <c r="J494" s="14"/>
      <c r="K494" s="15"/>
      <c r="P494" s="15"/>
      <c r="R494" s="16"/>
    </row>
    <row r="495" ht="15.75" customHeight="1">
      <c r="B495" s="12"/>
      <c r="C495" s="12"/>
      <c r="D495" s="12"/>
      <c r="E495" s="12"/>
      <c r="I495" s="14"/>
      <c r="J495" s="14"/>
      <c r="K495" s="15"/>
      <c r="P495" s="15"/>
      <c r="R495" s="16"/>
    </row>
    <row r="496" ht="15.75" customHeight="1">
      <c r="B496" s="12"/>
      <c r="C496" s="12"/>
      <c r="D496" s="12"/>
      <c r="E496" s="12"/>
      <c r="I496" s="14"/>
      <c r="J496" s="14"/>
      <c r="K496" s="15"/>
      <c r="P496" s="15"/>
      <c r="R496" s="16"/>
    </row>
    <row r="497" ht="15.75" customHeight="1">
      <c r="B497" s="12"/>
      <c r="C497" s="12"/>
      <c r="D497" s="12"/>
      <c r="E497" s="12"/>
      <c r="I497" s="14"/>
      <c r="J497" s="14"/>
      <c r="K497" s="15"/>
      <c r="P497" s="15"/>
      <c r="R497" s="16"/>
    </row>
    <row r="498" ht="15.75" customHeight="1">
      <c r="B498" s="12"/>
      <c r="C498" s="12"/>
      <c r="D498" s="12"/>
      <c r="E498" s="12"/>
      <c r="I498" s="14"/>
      <c r="J498" s="14"/>
      <c r="K498" s="15"/>
      <c r="P498" s="15"/>
      <c r="R498" s="16"/>
    </row>
    <row r="499" ht="15.75" customHeight="1">
      <c r="B499" s="12"/>
      <c r="C499" s="12"/>
      <c r="D499" s="12"/>
      <c r="E499" s="12"/>
      <c r="I499" s="14"/>
      <c r="J499" s="14"/>
      <c r="K499" s="15"/>
      <c r="P499" s="15"/>
      <c r="R499" s="16"/>
    </row>
    <row r="500" ht="15.75" customHeight="1">
      <c r="B500" s="12"/>
      <c r="C500" s="12"/>
      <c r="D500" s="12"/>
      <c r="E500" s="12"/>
      <c r="I500" s="14"/>
      <c r="J500" s="14"/>
      <c r="K500" s="15"/>
      <c r="P500" s="15"/>
      <c r="R500" s="16"/>
    </row>
    <row r="501" ht="15.75" customHeight="1">
      <c r="B501" s="12"/>
      <c r="C501" s="12"/>
      <c r="D501" s="12"/>
      <c r="E501" s="12"/>
      <c r="I501" s="14"/>
      <c r="J501" s="14"/>
      <c r="K501" s="15"/>
      <c r="P501" s="15"/>
      <c r="R501" s="16"/>
    </row>
    <row r="502" ht="15.75" customHeight="1">
      <c r="B502" s="12"/>
      <c r="C502" s="12"/>
      <c r="D502" s="12"/>
      <c r="E502" s="12"/>
      <c r="I502" s="14"/>
      <c r="J502" s="14"/>
      <c r="K502" s="15"/>
      <c r="P502" s="15"/>
      <c r="R502" s="16"/>
    </row>
    <row r="503" ht="15.75" customHeight="1">
      <c r="B503" s="12"/>
      <c r="C503" s="12"/>
      <c r="D503" s="12"/>
      <c r="E503" s="12"/>
      <c r="I503" s="14"/>
      <c r="J503" s="14"/>
      <c r="K503" s="15"/>
      <c r="P503" s="15"/>
      <c r="R503" s="16"/>
    </row>
    <row r="504" ht="15.75" customHeight="1">
      <c r="B504" s="12"/>
      <c r="C504" s="12"/>
      <c r="D504" s="12"/>
      <c r="E504" s="12"/>
      <c r="I504" s="14"/>
      <c r="J504" s="14"/>
      <c r="K504" s="15"/>
      <c r="P504" s="15"/>
      <c r="R504" s="16"/>
    </row>
    <row r="505" ht="15.75" customHeight="1">
      <c r="B505" s="12"/>
      <c r="C505" s="12"/>
      <c r="D505" s="12"/>
      <c r="E505" s="12"/>
      <c r="I505" s="14"/>
      <c r="J505" s="14"/>
      <c r="K505" s="15"/>
      <c r="P505" s="15"/>
      <c r="R505" s="16"/>
    </row>
    <row r="506" ht="15.75" customHeight="1">
      <c r="B506" s="12"/>
      <c r="C506" s="12"/>
      <c r="D506" s="12"/>
      <c r="E506" s="12"/>
      <c r="I506" s="14"/>
      <c r="J506" s="14"/>
      <c r="K506" s="15"/>
      <c r="P506" s="15"/>
      <c r="R506" s="16"/>
    </row>
    <row r="507" ht="15.75" customHeight="1">
      <c r="B507" s="12"/>
      <c r="C507" s="12"/>
      <c r="D507" s="12"/>
      <c r="E507" s="12"/>
      <c r="I507" s="14"/>
      <c r="J507" s="14"/>
      <c r="K507" s="15"/>
      <c r="P507" s="15"/>
      <c r="R507" s="16"/>
    </row>
    <row r="508" ht="15.75" customHeight="1">
      <c r="B508" s="12"/>
      <c r="C508" s="12"/>
      <c r="D508" s="12"/>
      <c r="E508" s="12"/>
      <c r="I508" s="14"/>
      <c r="J508" s="14"/>
      <c r="K508" s="15"/>
      <c r="P508" s="15"/>
      <c r="R508" s="16"/>
    </row>
    <row r="509" ht="15.75" customHeight="1">
      <c r="B509" s="12"/>
      <c r="C509" s="12"/>
      <c r="D509" s="12"/>
      <c r="E509" s="12"/>
      <c r="I509" s="14"/>
      <c r="J509" s="14"/>
      <c r="K509" s="15"/>
      <c r="P509" s="15"/>
      <c r="R509" s="16"/>
    </row>
    <row r="510" ht="15.75" customHeight="1">
      <c r="B510" s="12"/>
      <c r="C510" s="12"/>
      <c r="D510" s="12"/>
      <c r="E510" s="12"/>
      <c r="I510" s="14"/>
      <c r="J510" s="14"/>
      <c r="K510" s="15"/>
      <c r="P510" s="15"/>
      <c r="R510" s="16"/>
    </row>
    <row r="511" ht="15.75" customHeight="1">
      <c r="B511" s="12"/>
      <c r="C511" s="12"/>
      <c r="D511" s="12"/>
      <c r="E511" s="12"/>
      <c r="I511" s="14"/>
      <c r="J511" s="14"/>
      <c r="K511" s="15"/>
      <c r="P511" s="15"/>
      <c r="R511" s="16"/>
    </row>
    <row r="512" ht="15.75" customHeight="1">
      <c r="B512" s="12"/>
      <c r="C512" s="12"/>
      <c r="D512" s="12"/>
      <c r="E512" s="12"/>
      <c r="I512" s="14"/>
      <c r="J512" s="14"/>
      <c r="K512" s="15"/>
      <c r="P512" s="15"/>
      <c r="R512" s="16"/>
    </row>
    <row r="513" ht="15.75" customHeight="1">
      <c r="B513" s="12"/>
      <c r="C513" s="12"/>
      <c r="D513" s="12"/>
      <c r="E513" s="12"/>
      <c r="I513" s="14"/>
      <c r="J513" s="14"/>
      <c r="K513" s="15"/>
      <c r="P513" s="15"/>
      <c r="R513" s="16"/>
    </row>
    <row r="514" ht="15.75" customHeight="1">
      <c r="B514" s="12"/>
      <c r="C514" s="12"/>
      <c r="D514" s="12"/>
      <c r="E514" s="12"/>
      <c r="I514" s="14"/>
      <c r="J514" s="14"/>
      <c r="K514" s="15"/>
      <c r="P514" s="15"/>
      <c r="R514" s="16"/>
    </row>
    <row r="515" ht="15.75" customHeight="1">
      <c r="B515" s="12"/>
      <c r="C515" s="12"/>
      <c r="D515" s="12"/>
      <c r="E515" s="12"/>
      <c r="I515" s="14"/>
      <c r="J515" s="14"/>
      <c r="K515" s="15"/>
      <c r="P515" s="15"/>
      <c r="R515" s="16"/>
    </row>
    <row r="516" ht="15.75" customHeight="1">
      <c r="B516" s="12"/>
      <c r="C516" s="12"/>
      <c r="D516" s="12"/>
      <c r="E516" s="12"/>
      <c r="I516" s="14"/>
      <c r="J516" s="14"/>
      <c r="K516" s="15"/>
      <c r="P516" s="15"/>
      <c r="R516" s="16"/>
    </row>
    <row r="517" ht="15.75" customHeight="1">
      <c r="B517" s="12"/>
      <c r="C517" s="12"/>
      <c r="D517" s="12"/>
      <c r="E517" s="12"/>
      <c r="I517" s="14"/>
      <c r="J517" s="14"/>
      <c r="K517" s="15"/>
      <c r="P517" s="15"/>
      <c r="R517" s="16"/>
    </row>
    <row r="518" ht="15.75" customHeight="1">
      <c r="B518" s="12"/>
      <c r="C518" s="12"/>
      <c r="D518" s="12"/>
      <c r="E518" s="12"/>
      <c r="I518" s="14"/>
      <c r="J518" s="14"/>
      <c r="K518" s="15"/>
      <c r="P518" s="15"/>
      <c r="R518" s="16"/>
    </row>
    <row r="519" ht="15.75" customHeight="1">
      <c r="B519" s="12"/>
      <c r="C519" s="12"/>
      <c r="D519" s="12"/>
      <c r="E519" s="12"/>
      <c r="I519" s="14"/>
      <c r="J519" s="14"/>
      <c r="K519" s="15"/>
      <c r="P519" s="15"/>
      <c r="R519" s="16"/>
    </row>
    <row r="520" ht="15.75" customHeight="1">
      <c r="B520" s="12"/>
      <c r="C520" s="12"/>
      <c r="D520" s="12"/>
      <c r="E520" s="12"/>
      <c r="I520" s="14"/>
      <c r="J520" s="14"/>
      <c r="K520" s="15"/>
      <c r="P520" s="15"/>
      <c r="R520" s="16"/>
    </row>
    <row r="521" ht="15.75" customHeight="1">
      <c r="B521" s="12"/>
      <c r="C521" s="12"/>
      <c r="D521" s="12"/>
      <c r="E521" s="12"/>
      <c r="I521" s="14"/>
      <c r="J521" s="14"/>
      <c r="K521" s="15"/>
      <c r="P521" s="15"/>
      <c r="R521" s="16"/>
    </row>
    <row r="522" ht="15.75" customHeight="1">
      <c r="B522" s="12"/>
      <c r="C522" s="12"/>
      <c r="D522" s="12"/>
      <c r="E522" s="12"/>
      <c r="I522" s="14"/>
      <c r="J522" s="14"/>
      <c r="K522" s="15"/>
      <c r="P522" s="15"/>
      <c r="R522" s="16"/>
    </row>
    <row r="523" ht="15.75" customHeight="1">
      <c r="B523" s="12"/>
      <c r="C523" s="12"/>
      <c r="D523" s="12"/>
      <c r="E523" s="12"/>
      <c r="I523" s="14"/>
      <c r="J523" s="14"/>
      <c r="K523" s="15"/>
      <c r="P523" s="15"/>
      <c r="R523" s="16"/>
    </row>
    <row r="524" ht="15.75" customHeight="1">
      <c r="B524" s="12"/>
      <c r="C524" s="12"/>
      <c r="D524" s="12"/>
      <c r="E524" s="12"/>
      <c r="I524" s="14"/>
      <c r="J524" s="14"/>
      <c r="K524" s="15"/>
      <c r="P524" s="15"/>
      <c r="R524" s="16"/>
    </row>
    <row r="525" ht="15.75" customHeight="1">
      <c r="B525" s="12"/>
      <c r="C525" s="12"/>
      <c r="D525" s="12"/>
      <c r="E525" s="12"/>
      <c r="I525" s="14"/>
      <c r="J525" s="14"/>
      <c r="K525" s="15"/>
      <c r="P525" s="15"/>
      <c r="R525" s="16"/>
    </row>
    <row r="526" ht="15.75" customHeight="1">
      <c r="B526" s="12"/>
      <c r="C526" s="12"/>
      <c r="D526" s="12"/>
      <c r="E526" s="12"/>
      <c r="I526" s="14"/>
      <c r="J526" s="14"/>
      <c r="K526" s="15"/>
      <c r="P526" s="15"/>
      <c r="R526" s="16"/>
    </row>
    <row r="527" ht="15.75" customHeight="1">
      <c r="B527" s="12"/>
      <c r="C527" s="12"/>
      <c r="D527" s="12"/>
      <c r="E527" s="12"/>
      <c r="I527" s="14"/>
      <c r="J527" s="14"/>
      <c r="K527" s="15"/>
      <c r="P527" s="15"/>
      <c r="R527" s="16"/>
    </row>
    <row r="528" ht="15.75" customHeight="1">
      <c r="B528" s="12"/>
      <c r="C528" s="12"/>
      <c r="D528" s="12"/>
      <c r="E528" s="12"/>
      <c r="I528" s="14"/>
      <c r="J528" s="14"/>
      <c r="K528" s="15"/>
      <c r="P528" s="15"/>
      <c r="R528" s="16"/>
    </row>
    <row r="529" ht="15.75" customHeight="1">
      <c r="B529" s="12"/>
      <c r="C529" s="12"/>
      <c r="D529" s="12"/>
      <c r="E529" s="12"/>
      <c r="I529" s="14"/>
      <c r="J529" s="14"/>
      <c r="K529" s="15"/>
      <c r="P529" s="15"/>
      <c r="R529" s="16"/>
    </row>
    <row r="530" ht="15.75" customHeight="1">
      <c r="B530" s="12"/>
      <c r="C530" s="12"/>
      <c r="D530" s="12"/>
      <c r="E530" s="12"/>
      <c r="I530" s="14"/>
      <c r="J530" s="14"/>
      <c r="K530" s="15"/>
      <c r="P530" s="15"/>
      <c r="R530" s="16"/>
    </row>
    <row r="531" ht="15.75" customHeight="1">
      <c r="B531" s="12"/>
      <c r="C531" s="12"/>
      <c r="D531" s="12"/>
      <c r="E531" s="12"/>
      <c r="I531" s="14"/>
      <c r="J531" s="14"/>
      <c r="K531" s="15"/>
      <c r="P531" s="15"/>
      <c r="R531" s="16"/>
    </row>
    <row r="532" ht="15.75" customHeight="1">
      <c r="B532" s="12"/>
      <c r="C532" s="12"/>
      <c r="D532" s="12"/>
      <c r="E532" s="12"/>
      <c r="I532" s="14"/>
      <c r="J532" s="14"/>
      <c r="K532" s="15"/>
      <c r="P532" s="15"/>
      <c r="R532" s="16"/>
    </row>
    <row r="533" ht="15.75" customHeight="1">
      <c r="B533" s="12"/>
      <c r="C533" s="12"/>
      <c r="D533" s="12"/>
      <c r="E533" s="12"/>
      <c r="I533" s="14"/>
      <c r="J533" s="14"/>
      <c r="K533" s="15"/>
      <c r="P533" s="15"/>
      <c r="R533" s="16"/>
    </row>
    <row r="534" ht="15.75" customHeight="1">
      <c r="B534" s="12"/>
      <c r="C534" s="12"/>
      <c r="D534" s="12"/>
      <c r="E534" s="12"/>
      <c r="I534" s="14"/>
      <c r="J534" s="14"/>
      <c r="K534" s="15"/>
      <c r="P534" s="15"/>
      <c r="R534" s="16"/>
    </row>
    <row r="535" ht="15.75" customHeight="1">
      <c r="B535" s="12"/>
      <c r="C535" s="12"/>
      <c r="D535" s="12"/>
      <c r="E535" s="12"/>
      <c r="I535" s="14"/>
      <c r="J535" s="14"/>
      <c r="K535" s="15"/>
      <c r="P535" s="15"/>
      <c r="R535" s="16"/>
    </row>
    <row r="536" ht="15.75" customHeight="1">
      <c r="B536" s="12"/>
      <c r="C536" s="12"/>
      <c r="D536" s="12"/>
      <c r="E536" s="12"/>
      <c r="I536" s="14"/>
      <c r="J536" s="14"/>
      <c r="K536" s="15"/>
      <c r="P536" s="15"/>
      <c r="R536" s="16"/>
    </row>
    <row r="537" ht="15.75" customHeight="1">
      <c r="B537" s="12"/>
      <c r="C537" s="12"/>
      <c r="D537" s="12"/>
      <c r="E537" s="12"/>
      <c r="I537" s="14"/>
      <c r="J537" s="14"/>
      <c r="K537" s="15"/>
      <c r="P537" s="15"/>
      <c r="R537" s="16"/>
    </row>
    <row r="538" ht="15.75" customHeight="1">
      <c r="B538" s="12"/>
      <c r="C538" s="12"/>
      <c r="D538" s="12"/>
      <c r="E538" s="12"/>
      <c r="I538" s="14"/>
      <c r="J538" s="14"/>
      <c r="K538" s="15"/>
      <c r="P538" s="15"/>
      <c r="R538" s="16"/>
    </row>
    <row r="539" ht="15.75" customHeight="1">
      <c r="B539" s="12"/>
      <c r="C539" s="12"/>
      <c r="D539" s="12"/>
      <c r="E539" s="12"/>
      <c r="I539" s="14"/>
      <c r="J539" s="14"/>
      <c r="K539" s="15"/>
      <c r="P539" s="15"/>
      <c r="R539" s="16"/>
    </row>
    <row r="540" ht="15.75" customHeight="1">
      <c r="B540" s="12"/>
      <c r="C540" s="12"/>
      <c r="D540" s="12"/>
      <c r="E540" s="12"/>
      <c r="I540" s="14"/>
      <c r="J540" s="14"/>
      <c r="K540" s="15"/>
      <c r="P540" s="15"/>
      <c r="R540" s="16"/>
    </row>
    <row r="541" ht="15.75" customHeight="1">
      <c r="B541" s="12"/>
      <c r="C541" s="12"/>
      <c r="D541" s="12"/>
      <c r="E541" s="12"/>
      <c r="I541" s="14"/>
      <c r="J541" s="14"/>
      <c r="K541" s="15"/>
      <c r="P541" s="15"/>
      <c r="R541" s="16"/>
    </row>
    <row r="542" ht="15.75" customHeight="1">
      <c r="B542" s="12"/>
      <c r="C542" s="12"/>
      <c r="D542" s="12"/>
      <c r="E542" s="12"/>
      <c r="I542" s="14"/>
      <c r="J542" s="14"/>
      <c r="K542" s="15"/>
      <c r="P542" s="15"/>
      <c r="R542" s="16"/>
    </row>
    <row r="543" ht="15.75" customHeight="1">
      <c r="B543" s="12"/>
      <c r="C543" s="12"/>
      <c r="D543" s="12"/>
      <c r="E543" s="12"/>
      <c r="I543" s="14"/>
      <c r="J543" s="14"/>
      <c r="K543" s="15"/>
      <c r="P543" s="15"/>
      <c r="R543" s="16"/>
    </row>
    <row r="544" ht="15.75" customHeight="1">
      <c r="B544" s="12"/>
      <c r="C544" s="12"/>
      <c r="D544" s="12"/>
      <c r="E544" s="12"/>
      <c r="I544" s="14"/>
      <c r="J544" s="14"/>
      <c r="K544" s="15"/>
      <c r="P544" s="15"/>
      <c r="R544" s="16"/>
    </row>
    <row r="545" ht="15.75" customHeight="1">
      <c r="B545" s="12"/>
      <c r="C545" s="12"/>
      <c r="D545" s="12"/>
      <c r="E545" s="12"/>
      <c r="I545" s="14"/>
      <c r="J545" s="14"/>
      <c r="K545" s="15"/>
      <c r="P545" s="15"/>
      <c r="R545" s="16"/>
    </row>
    <row r="546" ht="15.75" customHeight="1">
      <c r="B546" s="12"/>
      <c r="C546" s="12"/>
      <c r="D546" s="12"/>
      <c r="E546" s="12"/>
      <c r="I546" s="14"/>
      <c r="J546" s="14"/>
      <c r="K546" s="15"/>
      <c r="P546" s="15"/>
      <c r="R546" s="16"/>
    </row>
    <row r="547" ht="15.75" customHeight="1">
      <c r="B547" s="12"/>
      <c r="C547" s="12"/>
      <c r="D547" s="12"/>
      <c r="E547" s="12"/>
      <c r="I547" s="14"/>
      <c r="J547" s="14"/>
      <c r="K547" s="15"/>
      <c r="P547" s="15"/>
      <c r="R547" s="16"/>
    </row>
    <row r="548" ht="15.75" customHeight="1">
      <c r="B548" s="12"/>
      <c r="C548" s="12"/>
      <c r="D548" s="12"/>
      <c r="E548" s="12"/>
      <c r="I548" s="14"/>
      <c r="J548" s="14"/>
      <c r="K548" s="15"/>
      <c r="P548" s="15"/>
      <c r="R548" s="16"/>
    </row>
    <row r="549" ht="15.75" customHeight="1">
      <c r="B549" s="12"/>
      <c r="C549" s="12"/>
      <c r="D549" s="12"/>
      <c r="E549" s="12"/>
      <c r="I549" s="14"/>
      <c r="J549" s="14"/>
      <c r="K549" s="15"/>
      <c r="P549" s="15"/>
      <c r="R549" s="16"/>
    </row>
    <row r="550" ht="15.75" customHeight="1">
      <c r="B550" s="12"/>
      <c r="C550" s="12"/>
      <c r="D550" s="12"/>
      <c r="E550" s="12"/>
      <c r="I550" s="14"/>
      <c r="J550" s="14"/>
      <c r="K550" s="15"/>
      <c r="P550" s="15"/>
      <c r="R550" s="16"/>
    </row>
    <row r="551" ht="15.75" customHeight="1">
      <c r="B551" s="12"/>
      <c r="C551" s="12"/>
      <c r="D551" s="12"/>
      <c r="E551" s="12"/>
      <c r="I551" s="14"/>
      <c r="J551" s="14"/>
      <c r="K551" s="15"/>
      <c r="P551" s="15"/>
      <c r="R551" s="16"/>
    </row>
    <row r="552" ht="15.75" customHeight="1">
      <c r="B552" s="12"/>
      <c r="C552" s="12"/>
      <c r="D552" s="12"/>
      <c r="E552" s="12"/>
      <c r="I552" s="14"/>
      <c r="J552" s="14"/>
      <c r="K552" s="15"/>
      <c r="P552" s="15"/>
      <c r="R552" s="16"/>
    </row>
    <row r="553" ht="15.75" customHeight="1">
      <c r="B553" s="12"/>
      <c r="C553" s="12"/>
      <c r="D553" s="12"/>
      <c r="E553" s="12"/>
      <c r="I553" s="14"/>
      <c r="J553" s="14"/>
      <c r="K553" s="15"/>
      <c r="P553" s="15"/>
      <c r="R553" s="16"/>
    </row>
    <row r="554" ht="15.75" customHeight="1">
      <c r="B554" s="12"/>
      <c r="C554" s="12"/>
      <c r="D554" s="12"/>
      <c r="E554" s="12"/>
      <c r="I554" s="14"/>
      <c r="J554" s="14"/>
      <c r="K554" s="15"/>
      <c r="P554" s="15"/>
      <c r="R554" s="16"/>
    </row>
    <row r="555" ht="15.75" customHeight="1">
      <c r="B555" s="12"/>
      <c r="C555" s="12"/>
      <c r="D555" s="12"/>
      <c r="E555" s="12"/>
      <c r="I555" s="14"/>
      <c r="J555" s="14"/>
      <c r="K555" s="15"/>
      <c r="P555" s="15"/>
      <c r="R555" s="16"/>
    </row>
    <row r="556" ht="15.75" customHeight="1">
      <c r="B556" s="12"/>
      <c r="C556" s="12"/>
      <c r="D556" s="12"/>
      <c r="E556" s="12"/>
      <c r="I556" s="14"/>
      <c r="J556" s="14"/>
      <c r="K556" s="15"/>
      <c r="P556" s="15"/>
      <c r="R556" s="16"/>
    </row>
    <row r="557" ht="15.75" customHeight="1">
      <c r="B557" s="12"/>
      <c r="C557" s="12"/>
      <c r="D557" s="12"/>
      <c r="E557" s="12"/>
      <c r="I557" s="14"/>
      <c r="J557" s="14"/>
      <c r="K557" s="15"/>
      <c r="P557" s="15"/>
      <c r="R557" s="16"/>
    </row>
    <row r="558" ht="15.75" customHeight="1">
      <c r="B558" s="12"/>
      <c r="C558" s="12"/>
      <c r="D558" s="12"/>
      <c r="E558" s="12"/>
      <c r="I558" s="14"/>
      <c r="J558" s="14"/>
      <c r="K558" s="15"/>
      <c r="P558" s="15"/>
      <c r="R558" s="16"/>
    </row>
    <row r="559" ht="15.75" customHeight="1">
      <c r="B559" s="12"/>
      <c r="C559" s="12"/>
      <c r="D559" s="12"/>
      <c r="E559" s="12"/>
      <c r="I559" s="14"/>
      <c r="J559" s="14"/>
      <c r="K559" s="15"/>
      <c r="P559" s="15"/>
      <c r="R559" s="16"/>
    </row>
    <row r="560" ht="15.75" customHeight="1">
      <c r="B560" s="12"/>
      <c r="C560" s="12"/>
      <c r="D560" s="12"/>
      <c r="E560" s="12"/>
      <c r="I560" s="14"/>
      <c r="J560" s="14"/>
      <c r="K560" s="15"/>
      <c r="P560" s="15"/>
      <c r="R560" s="16"/>
    </row>
    <row r="561" ht="15.75" customHeight="1">
      <c r="B561" s="12"/>
      <c r="C561" s="12"/>
      <c r="D561" s="12"/>
      <c r="E561" s="12"/>
      <c r="I561" s="14"/>
      <c r="J561" s="14"/>
      <c r="K561" s="15"/>
      <c r="P561" s="15"/>
      <c r="R561" s="16"/>
    </row>
    <row r="562" ht="15.75" customHeight="1">
      <c r="B562" s="12"/>
      <c r="C562" s="12"/>
      <c r="D562" s="12"/>
      <c r="E562" s="12"/>
      <c r="I562" s="14"/>
      <c r="J562" s="14"/>
      <c r="K562" s="15"/>
      <c r="P562" s="15"/>
      <c r="R562" s="16"/>
    </row>
    <row r="563" ht="15.75" customHeight="1">
      <c r="B563" s="12"/>
      <c r="C563" s="12"/>
      <c r="D563" s="12"/>
      <c r="E563" s="12"/>
      <c r="I563" s="14"/>
      <c r="J563" s="14"/>
      <c r="K563" s="15"/>
      <c r="P563" s="15"/>
      <c r="R563" s="16"/>
    </row>
    <row r="564" ht="15.75" customHeight="1">
      <c r="B564" s="12"/>
      <c r="C564" s="12"/>
      <c r="D564" s="12"/>
      <c r="E564" s="12"/>
      <c r="I564" s="14"/>
      <c r="J564" s="14"/>
      <c r="K564" s="15"/>
      <c r="P564" s="15"/>
      <c r="R564" s="16"/>
    </row>
    <row r="565" ht="15.75" customHeight="1">
      <c r="B565" s="12"/>
      <c r="C565" s="12"/>
      <c r="D565" s="12"/>
      <c r="E565" s="12"/>
      <c r="I565" s="14"/>
      <c r="J565" s="14"/>
      <c r="K565" s="15"/>
      <c r="P565" s="15"/>
      <c r="R565" s="16"/>
    </row>
    <row r="566" ht="15.75" customHeight="1">
      <c r="B566" s="12"/>
      <c r="C566" s="12"/>
      <c r="D566" s="12"/>
      <c r="E566" s="12"/>
      <c r="I566" s="14"/>
      <c r="J566" s="14"/>
      <c r="K566" s="15"/>
      <c r="P566" s="15"/>
      <c r="R566" s="16"/>
    </row>
    <row r="567" ht="15.75" customHeight="1">
      <c r="B567" s="12"/>
      <c r="C567" s="12"/>
      <c r="D567" s="12"/>
      <c r="E567" s="12"/>
      <c r="I567" s="14"/>
      <c r="J567" s="14"/>
      <c r="K567" s="15"/>
      <c r="P567" s="15"/>
      <c r="R567" s="16"/>
    </row>
    <row r="568" ht="15.75" customHeight="1">
      <c r="B568" s="12"/>
      <c r="C568" s="12"/>
      <c r="D568" s="12"/>
      <c r="E568" s="12"/>
      <c r="I568" s="14"/>
      <c r="J568" s="14"/>
      <c r="K568" s="15"/>
      <c r="P568" s="15"/>
      <c r="R568" s="16"/>
    </row>
    <row r="569" ht="15.75" customHeight="1">
      <c r="B569" s="12"/>
      <c r="C569" s="12"/>
      <c r="D569" s="12"/>
      <c r="E569" s="12"/>
      <c r="I569" s="14"/>
      <c r="J569" s="14"/>
      <c r="K569" s="15"/>
      <c r="P569" s="15"/>
      <c r="R569" s="16"/>
    </row>
    <row r="570" ht="15.75" customHeight="1">
      <c r="B570" s="12"/>
      <c r="C570" s="12"/>
      <c r="D570" s="12"/>
      <c r="E570" s="12"/>
      <c r="I570" s="14"/>
      <c r="J570" s="14"/>
      <c r="K570" s="15"/>
      <c r="P570" s="15"/>
      <c r="R570" s="16"/>
    </row>
    <row r="571" ht="15.75" customHeight="1">
      <c r="B571" s="12"/>
      <c r="C571" s="12"/>
      <c r="D571" s="12"/>
      <c r="E571" s="12"/>
      <c r="I571" s="14"/>
      <c r="J571" s="14"/>
      <c r="K571" s="15"/>
      <c r="P571" s="15"/>
      <c r="R571" s="16"/>
    </row>
    <row r="572" ht="15.75" customHeight="1">
      <c r="B572" s="12"/>
      <c r="C572" s="12"/>
      <c r="D572" s="12"/>
      <c r="E572" s="12"/>
      <c r="I572" s="14"/>
      <c r="J572" s="14"/>
      <c r="K572" s="15"/>
      <c r="P572" s="15"/>
      <c r="R572" s="16"/>
    </row>
    <row r="573" ht="15.75" customHeight="1">
      <c r="B573" s="12"/>
      <c r="C573" s="12"/>
      <c r="D573" s="12"/>
      <c r="E573" s="12"/>
      <c r="I573" s="14"/>
      <c r="J573" s="14"/>
      <c r="K573" s="15"/>
      <c r="P573" s="15"/>
      <c r="R573" s="16"/>
    </row>
    <row r="574" ht="15.75" customHeight="1">
      <c r="B574" s="12"/>
      <c r="C574" s="12"/>
      <c r="D574" s="12"/>
      <c r="E574" s="12"/>
      <c r="I574" s="14"/>
      <c r="J574" s="14"/>
      <c r="K574" s="15"/>
      <c r="P574" s="15"/>
      <c r="R574" s="16"/>
    </row>
    <row r="575" ht="15.75" customHeight="1">
      <c r="B575" s="12"/>
      <c r="C575" s="12"/>
      <c r="D575" s="12"/>
      <c r="E575" s="12"/>
      <c r="I575" s="14"/>
      <c r="J575" s="14"/>
      <c r="K575" s="15"/>
      <c r="P575" s="15"/>
      <c r="R575" s="16"/>
    </row>
    <row r="576" ht="15.75" customHeight="1">
      <c r="B576" s="12"/>
      <c r="C576" s="12"/>
      <c r="D576" s="12"/>
      <c r="E576" s="12"/>
      <c r="I576" s="14"/>
      <c r="J576" s="14"/>
      <c r="K576" s="15"/>
      <c r="P576" s="15"/>
      <c r="R576" s="16"/>
    </row>
    <row r="577" ht="15.75" customHeight="1">
      <c r="B577" s="12"/>
      <c r="C577" s="12"/>
      <c r="D577" s="12"/>
      <c r="E577" s="12"/>
      <c r="I577" s="14"/>
      <c r="J577" s="14"/>
      <c r="K577" s="15"/>
      <c r="P577" s="15"/>
      <c r="R577" s="16"/>
    </row>
    <row r="578" ht="15.75" customHeight="1">
      <c r="B578" s="12"/>
      <c r="C578" s="12"/>
      <c r="D578" s="12"/>
      <c r="E578" s="12"/>
      <c r="I578" s="14"/>
      <c r="J578" s="14"/>
      <c r="K578" s="15"/>
      <c r="P578" s="15"/>
      <c r="R578" s="16"/>
    </row>
    <row r="579" ht="15.75" customHeight="1">
      <c r="B579" s="12"/>
      <c r="C579" s="12"/>
      <c r="D579" s="12"/>
      <c r="E579" s="12"/>
      <c r="I579" s="14"/>
      <c r="J579" s="14"/>
      <c r="K579" s="15"/>
      <c r="P579" s="15"/>
      <c r="R579" s="16"/>
    </row>
    <row r="580" ht="15.75" customHeight="1">
      <c r="B580" s="12"/>
      <c r="C580" s="12"/>
      <c r="D580" s="12"/>
      <c r="E580" s="12"/>
      <c r="I580" s="14"/>
      <c r="J580" s="14"/>
      <c r="K580" s="15"/>
      <c r="P580" s="15"/>
      <c r="R580" s="16"/>
    </row>
    <row r="581" ht="15.75" customHeight="1">
      <c r="B581" s="12"/>
      <c r="C581" s="12"/>
      <c r="D581" s="12"/>
      <c r="E581" s="12"/>
      <c r="I581" s="14"/>
      <c r="J581" s="14"/>
      <c r="K581" s="15"/>
      <c r="P581" s="15"/>
      <c r="R581" s="16"/>
    </row>
    <row r="582" ht="15.75" customHeight="1">
      <c r="B582" s="12"/>
      <c r="C582" s="12"/>
      <c r="D582" s="12"/>
      <c r="E582" s="12"/>
      <c r="I582" s="14"/>
      <c r="J582" s="14"/>
      <c r="K582" s="15"/>
      <c r="P582" s="15"/>
      <c r="R582" s="16"/>
    </row>
    <row r="583" ht="15.75" customHeight="1">
      <c r="B583" s="12"/>
      <c r="C583" s="12"/>
      <c r="D583" s="12"/>
      <c r="E583" s="12"/>
      <c r="I583" s="14"/>
      <c r="J583" s="14"/>
      <c r="K583" s="15"/>
      <c r="P583" s="15"/>
      <c r="R583" s="16"/>
    </row>
    <row r="584" ht="15.75" customHeight="1">
      <c r="B584" s="12"/>
      <c r="C584" s="12"/>
      <c r="D584" s="12"/>
      <c r="E584" s="12"/>
      <c r="I584" s="14"/>
      <c r="J584" s="14"/>
      <c r="K584" s="15"/>
      <c r="P584" s="15"/>
      <c r="R584" s="16"/>
    </row>
    <row r="585" ht="15.75" customHeight="1">
      <c r="B585" s="12"/>
      <c r="C585" s="12"/>
      <c r="D585" s="12"/>
      <c r="E585" s="12"/>
      <c r="I585" s="14"/>
      <c r="J585" s="14"/>
      <c r="K585" s="15"/>
      <c r="P585" s="15"/>
      <c r="R585" s="16"/>
    </row>
    <row r="586" ht="15.75" customHeight="1">
      <c r="B586" s="12"/>
      <c r="C586" s="12"/>
      <c r="D586" s="12"/>
      <c r="E586" s="12"/>
      <c r="I586" s="14"/>
      <c r="J586" s="14"/>
      <c r="K586" s="15"/>
      <c r="P586" s="15"/>
      <c r="R586" s="16"/>
    </row>
    <row r="587" ht="15.75" customHeight="1">
      <c r="B587" s="12"/>
      <c r="C587" s="12"/>
      <c r="D587" s="12"/>
      <c r="E587" s="12"/>
      <c r="I587" s="14"/>
      <c r="J587" s="14"/>
      <c r="K587" s="15"/>
      <c r="P587" s="15"/>
      <c r="R587" s="16"/>
    </row>
    <row r="588" ht="15.75" customHeight="1">
      <c r="B588" s="12"/>
      <c r="C588" s="12"/>
      <c r="D588" s="12"/>
      <c r="E588" s="12"/>
      <c r="I588" s="14"/>
      <c r="J588" s="14"/>
      <c r="K588" s="15"/>
      <c r="P588" s="15"/>
      <c r="R588" s="16"/>
    </row>
    <row r="589" ht="15.75" customHeight="1">
      <c r="B589" s="12"/>
      <c r="C589" s="12"/>
      <c r="D589" s="12"/>
      <c r="E589" s="12"/>
      <c r="I589" s="14"/>
      <c r="J589" s="14"/>
      <c r="K589" s="15"/>
      <c r="P589" s="15"/>
      <c r="R589" s="16"/>
    </row>
    <row r="590" ht="15.75" customHeight="1">
      <c r="B590" s="12"/>
      <c r="C590" s="12"/>
      <c r="D590" s="12"/>
      <c r="E590" s="12"/>
      <c r="I590" s="14"/>
      <c r="J590" s="14"/>
      <c r="K590" s="15"/>
      <c r="P590" s="15"/>
      <c r="R590" s="16"/>
    </row>
    <row r="591" ht="15.75" customHeight="1">
      <c r="B591" s="12"/>
      <c r="C591" s="12"/>
      <c r="D591" s="12"/>
      <c r="E591" s="12"/>
      <c r="I591" s="14"/>
      <c r="J591" s="14"/>
      <c r="K591" s="15"/>
      <c r="P591" s="15"/>
      <c r="R591" s="16"/>
    </row>
    <row r="592" ht="15.75" customHeight="1">
      <c r="B592" s="12"/>
      <c r="C592" s="12"/>
      <c r="D592" s="12"/>
      <c r="E592" s="12"/>
      <c r="I592" s="14"/>
      <c r="J592" s="14"/>
      <c r="K592" s="15"/>
      <c r="P592" s="15"/>
      <c r="R592" s="16"/>
    </row>
    <row r="593" ht="15.75" customHeight="1">
      <c r="B593" s="12"/>
      <c r="C593" s="12"/>
      <c r="D593" s="12"/>
      <c r="E593" s="12"/>
      <c r="I593" s="14"/>
      <c r="J593" s="14"/>
      <c r="K593" s="15"/>
      <c r="P593" s="15"/>
      <c r="R593" s="16"/>
    </row>
    <row r="594" ht="15.75" customHeight="1">
      <c r="B594" s="12"/>
      <c r="C594" s="12"/>
      <c r="D594" s="12"/>
      <c r="E594" s="12"/>
      <c r="I594" s="14"/>
      <c r="J594" s="14"/>
      <c r="K594" s="15"/>
      <c r="P594" s="15"/>
      <c r="R594" s="16"/>
    </row>
    <row r="595" ht="15.75" customHeight="1">
      <c r="B595" s="12"/>
      <c r="C595" s="12"/>
      <c r="D595" s="12"/>
      <c r="E595" s="12"/>
      <c r="I595" s="14"/>
      <c r="J595" s="14"/>
      <c r="K595" s="15"/>
      <c r="P595" s="15"/>
      <c r="R595" s="16"/>
    </row>
    <row r="596" ht="15.75" customHeight="1">
      <c r="B596" s="12"/>
      <c r="C596" s="12"/>
      <c r="D596" s="12"/>
      <c r="E596" s="12"/>
      <c r="I596" s="14"/>
      <c r="J596" s="14"/>
      <c r="K596" s="15"/>
      <c r="P596" s="15"/>
      <c r="R596" s="16"/>
    </row>
    <row r="597" ht="15.75" customHeight="1">
      <c r="B597" s="12"/>
      <c r="C597" s="12"/>
      <c r="D597" s="12"/>
      <c r="E597" s="12"/>
      <c r="I597" s="14"/>
      <c r="J597" s="14"/>
      <c r="K597" s="15"/>
      <c r="P597" s="15"/>
      <c r="R597" s="16"/>
    </row>
    <row r="598" ht="15.75" customHeight="1">
      <c r="B598" s="12"/>
      <c r="C598" s="12"/>
      <c r="D598" s="12"/>
      <c r="E598" s="12"/>
      <c r="I598" s="14"/>
      <c r="J598" s="14"/>
      <c r="K598" s="15"/>
      <c r="P598" s="15"/>
      <c r="R598" s="16"/>
    </row>
    <row r="599" ht="15.75" customHeight="1">
      <c r="B599" s="12"/>
      <c r="C599" s="12"/>
      <c r="D599" s="12"/>
      <c r="E599" s="12"/>
      <c r="I599" s="14"/>
      <c r="J599" s="14"/>
      <c r="K599" s="15"/>
      <c r="P599" s="15"/>
      <c r="R599" s="16"/>
    </row>
    <row r="600" ht="15.75" customHeight="1">
      <c r="B600" s="12"/>
      <c r="C600" s="12"/>
      <c r="D600" s="12"/>
      <c r="E600" s="12"/>
      <c r="I600" s="14"/>
      <c r="J600" s="14"/>
      <c r="K600" s="15"/>
      <c r="P600" s="15"/>
      <c r="R600" s="16"/>
    </row>
    <row r="601" ht="15.75" customHeight="1">
      <c r="B601" s="12"/>
      <c r="C601" s="12"/>
      <c r="D601" s="12"/>
      <c r="E601" s="12"/>
      <c r="I601" s="14"/>
      <c r="J601" s="14"/>
      <c r="K601" s="15"/>
      <c r="P601" s="15"/>
      <c r="R601" s="16"/>
    </row>
    <row r="602" ht="15.75" customHeight="1">
      <c r="B602" s="12"/>
      <c r="C602" s="12"/>
      <c r="D602" s="12"/>
      <c r="E602" s="12"/>
      <c r="I602" s="14"/>
      <c r="J602" s="14"/>
      <c r="K602" s="15"/>
      <c r="P602" s="15"/>
      <c r="R602" s="16"/>
    </row>
    <row r="603" ht="15.75" customHeight="1">
      <c r="B603" s="12"/>
      <c r="C603" s="12"/>
      <c r="D603" s="12"/>
      <c r="E603" s="12"/>
      <c r="I603" s="14"/>
      <c r="J603" s="14"/>
      <c r="K603" s="15"/>
      <c r="P603" s="15"/>
      <c r="R603" s="16"/>
    </row>
    <row r="604" ht="15.75" customHeight="1">
      <c r="B604" s="12"/>
      <c r="C604" s="12"/>
      <c r="D604" s="12"/>
      <c r="E604" s="12"/>
      <c r="I604" s="14"/>
      <c r="J604" s="14"/>
      <c r="K604" s="15"/>
      <c r="P604" s="15"/>
      <c r="R604" s="16"/>
    </row>
    <row r="605" ht="15.75" customHeight="1">
      <c r="B605" s="12"/>
      <c r="C605" s="12"/>
      <c r="D605" s="12"/>
      <c r="E605" s="12"/>
      <c r="I605" s="14"/>
      <c r="J605" s="14"/>
      <c r="K605" s="15"/>
      <c r="P605" s="15"/>
      <c r="R605" s="16"/>
    </row>
    <row r="606" ht="15.75" customHeight="1">
      <c r="B606" s="12"/>
      <c r="C606" s="12"/>
      <c r="D606" s="12"/>
      <c r="E606" s="12"/>
      <c r="I606" s="14"/>
      <c r="J606" s="14"/>
      <c r="K606" s="15"/>
      <c r="P606" s="15"/>
      <c r="R606" s="16"/>
    </row>
    <row r="607" ht="15.75" customHeight="1">
      <c r="B607" s="12"/>
      <c r="C607" s="12"/>
      <c r="D607" s="12"/>
      <c r="E607" s="12"/>
      <c r="I607" s="14"/>
      <c r="J607" s="14"/>
      <c r="K607" s="15"/>
      <c r="P607" s="15"/>
      <c r="R607" s="16"/>
    </row>
    <row r="608" ht="15.75" customHeight="1">
      <c r="B608" s="12"/>
      <c r="C608" s="12"/>
      <c r="D608" s="12"/>
      <c r="E608" s="12"/>
      <c r="I608" s="14"/>
      <c r="J608" s="14"/>
      <c r="K608" s="15"/>
      <c r="P608" s="15"/>
      <c r="R608" s="16"/>
    </row>
    <row r="609" ht="15.75" customHeight="1">
      <c r="B609" s="12"/>
      <c r="C609" s="12"/>
      <c r="D609" s="12"/>
      <c r="E609" s="12"/>
      <c r="I609" s="14"/>
      <c r="J609" s="14"/>
      <c r="K609" s="15"/>
      <c r="P609" s="15"/>
      <c r="R609" s="16"/>
    </row>
    <row r="610" ht="15.75" customHeight="1">
      <c r="B610" s="12"/>
      <c r="C610" s="12"/>
      <c r="D610" s="12"/>
      <c r="E610" s="12"/>
      <c r="I610" s="14"/>
      <c r="J610" s="14"/>
      <c r="K610" s="15"/>
      <c r="P610" s="15"/>
      <c r="R610" s="16"/>
    </row>
    <row r="611" ht="15.75" customHeight="1">
      <c r="B611" s="12"/>
      <c r="C611" s="12"/>
      <c r="D611" s="12"/>
      <c r="E611" s="12"/>
      <c r="I611" s="14"/>
      <c r="J611" s="14"/>
      <c r="K611" s="15"/>
      <c r="P611" s="15"/>
      <c r="R611" s="16"/>
    </row>
    <row r="612" ht="15.75" customHeight="1">
      <c r="B612" s="12"/>
      <c r="C612" s="12"/>
      <c r="D612" s="12"/>
      <c r="E612" s="12"/>
      <c r="I612" s="14"/>
      <c r="J612" s="14"/>
      <c r="K612" s="15"/>
      <c r="P612" s="15"/>
      <c r="R612" s="16"/>
    </row>
    <row r="613" ht="15.75" customHeight="1">
      <c r="B613" s="12"/>
      <c r="C613" s="12"/>
      <c r="D613" s="12"/>
      <c r="E613" s="12"/>
      <c r="I613" s="14"/>
      <c r="J613" s="14"/>
      <c r="K613" s="15"/>
      <c r="P613" s="15"/>
      <c r="R613" s="16"/>
    </row>
    <row r="614" ht="15.75" customHeight="1">
      <c r="B614" s="12"/>
      <c r="C614" s="12"/>
      <c r="D614" s="12"/>
      <c r="E614" s="12"/>
      <c r="I614" s="14"/>
      <c r="J614" s="14"/>
      <c r="K614" s="15"/>
      <c r="P614" s="15"/>
      <c r="R614" s="16"/>
    </row>
    <row r="615" ht="15.75" customHeight="1">
      <c r="B615" s="12"/>
      <c r="C615" s="12"/>
      <c r="D615" s="12"/>
      <c r="E615" s="12"/>
      <c r="I615" s="14"/>
      <c r="J615" s="14"/>
      <c r="K615" s="15"/>
      <c r="P615" s="15"/>
      <c r="R615" s="16"/>
    </row>
    <row r="616" ht="15.75" customHeight="1">
      <c r="B616" s="12"/>
      <c r="C616" s="12"/>
      <c r="D616" s="12"/>
      <c r="E616" s="12"/>
      <c r="I616" s="14"/>
      <c r="J616" s="14"/>
      <c r="K616" s="15"/>
      <c r="P616" s="15"/>
      <c r="R616" s="16"/>
    </row>
    <row r="617" ht="15.75" customHeight="1">
      <c r="B617" s="12"/>
      <c r="C617" s="12"/>
      <c r="D617" s="12"/>
      <c r="E617" s="12"/>
      <c r="I617" s="14"/>
      <c r="J617" s="14"/>
      <c r="K617" s="15"/>
      <c r="P617" s="15"/>
      <c r="R617" s="16"/>
    </row>
    <row r="618" ht="15.75" customHeight="1">
      <c r="B618" s="12"/>
      <c r="C618" s="12"/>
      <c r="D618" s="12"/>
      <c r="E618" s="12"/>
      <c r="I618" s="14"/>
      <c r="J618" s="14"/>
      <c r="K618" s="15"/>
      <c r="P618" s="15"/>
      <c r="R618" s="16"/>
    </row>
    <row r="619" ht="15.75" customHeight="1">
      <c r="B619" s="12"/>
      <c r="C619" s="12"/>
      <c r="D619" s="12"/>
      <c r="E619" s="12"/>
      <c r="I619" s="14"/>
      <c r="J619" s="14"/>
      <c r="K619" s="15"/>
      <c r="P619" s="15"/>
      <c r="R619" s="16"/>
    </row>
    <row r="620" ht="15.75" customHeight="1">
      <c r="B620" s="12"/>
      <c r="C620" s="12"/>
      <c r="D620" s="12"/>
      <c r="E620" s="12"/>
      <c r="I620" s="14"/>
      <c r="J620" s="14"/>
      <c r="K620" s="15"/>
      <c r="P620" s="15"/>
      <c r="R620" s="16"/>
    </row>
    <row r="621" ht="15.75" customHeight="1">
      <c r="B621" s="12"/>
      <c r="C621" s="12"/>
      <c r="D621" s="12"/>
      <c r="E621" s="12"/>
      <c r="I621" s="14"/>
      <c r="J621" s="14"/>
      <c r="K621" s="15"/>
      <c r="P621" s="15"/>
      <c r="R621" s="16"/>
    </row>
    <row r="622" ht="15.75" customHeight="1">
      <c r="B622" s="12"/>
      <c r="C622" s="12"/>
      <c r="D622" s="12"/>
      <c r="E622" s="12"/>
      <c r="I622" s="14"/>
      <c r="J622" s="14"/>
      <c r="K622" s="15"/>
      <c r="P622" s="15"/>
      <c r="R622" s="16"/>
    </row>
    <row r="623" ht="15.75" customHeight="1">
      <c r="B623" s="12"/>
      <c r="C623" s="12"/>
      <c r="D623" s="12"/>
      <c r="E623" s="12"/>
      <c r="I623" s="14"/>
      <c r="J623" s="14"/>
      <c r="K623" s="15"/>
      <c r="P623" s="15"/>
      <c r="R623" s="16"/>
    </row>
    <row r="624" ht="15.75" customHeight="1">
      <c r="B624" s="12"/>
      <c r="C624" s="12"/>
      <c r="D624" s="12"/>
      <c r="E624" s="12"/>
      <c r="I624" s="14"/>
      <c r="J624" s="14"/>
      <c r="K624" s="15"/>
      <c r="P624" s="15"/>
      <c r="R624" s="16"/>
    </row>
    <row r="625" ht="15.75" customHeight="1">
      <c r="B625" s="12"/>
      <c r="C625" s="12"/>
      <c r="D625" s="12"/>
      <c r="E625" s="12"/>
      <c r="I625" s="14"/>
      <c r="J625" s="14"/>
      <c r="K625" s="15"/>
      <c r="P625" s="15"/>
      <c r="R625" s="16"/>
    </row>
    <row r="626" ht="15.75" customHeight="1">
      <c r="B626" s="12"/>
      <c r="C626" s="12"/>
      <c r="D626" s="12"/>
      <c r="E626" s="12"/>
      <c r="I626" s="14"/>
      <c r="J626" s="14"/>
      <c r="K626" s="15"/>
      <c r="P626" s="15"/>
      <c r="R626" s="16"/>
    </row>
    <row r="627" ht="15.75" customHeight="1">
      <c r="B627" s="12"/>
      <c r="C627" s="12"/>
      <c r="D627" s="12"/>
      <c r="E627" s="12"/>
      <c r="I627" s="14"/>
      <c r="J627" s="14"/>
      <c r="K627" s="15"/>
      <c r="P627" s="15"/>
      <c r="R627" s="16"/>
    </row>
    <row r="628" ht="15.75" customHeight="1">
      <c r="B628" s="12"/>
      <c r="C628" s="12"/>
      <c r="D628" s="12"/>
      <c r="E628" s="12"/>
      <c r="I628" s="14"/>
      <c r="J628" s="14"/>
      <c r="K628" s="15"/>
      <c r="P628" s="15"/>
      <c r="R628" s="16"/>
    </row>
    <row r="629" ht="15.75" customHeight="1">
      <c r="B629" s="12"/>
      <c r="C629" s="12"/>
      <c r="D629" s="12"/>
      <c r="E629" s="12"/>
      <c r="I629" s="14"/>
      <c r="J629" s="14"/>
      <c r="K629" s="15"/>
      <c r="P629" s="15"/>
      <c r="R629" s="16"/>
    </row>
    <row r="630" ht="15.75" customHeight="1">
      <c r="B630" s="12"/>
      <c r="C630" s="12"/>
      <c r="D630" s="12"/>
      <c r="E630" s="12"/>
      <c r="I630" s="14"/>
      <c r="J630" s="14"/>
      <c r="K630" s="15"/>
      <c r="P630" s="15"/>
      <c r="R630" s="16"/>
    </row>
    <row r="631" ht="15.75" customHeight="1">
      <c r="B631" s="12"/>
      <c r="C631" s="12"/>
      <c r="D631" s="12"/>
      <c r="E631" s="12"/>
      <c r="I631" s="14"/>
      <c r="J631" s="14"/>
      <c r="K631" s="15"/>
      <c r="P631" s="15"/>
      <c r="R631" s="16"/>
    </row>
    <row r="632" ht="15.75" customHeight="1">
      <c r="B632" s="12"/>
      <c r="C632" s="12"/>
      <c r="D632" s="12"/>
      <c r="E632" s="12"/>
      <c r="I632" s="14"/>
      <c r="J632" s="14"/>
      <c r="K632" s="15"/>
      <c r="P632" s="15"/>
      <c r="R632" s="16"/>
    </row>
    <row r="633" ht="15.75" customHeight="1">
      <c r="B633" s="12"/>
      <c r="C633" s="12"/>
      <c r="D633" s="12"/>
      <c r="E633" s="12"/>
      <c r="I633" s="14"/>
      <c r="J633" s="14"/>
      <c r="K633" s="15"/>
      <c r="P633" s="15"/>
      <c r="R633" s="16"/>
    </row>
    <row r="634" ht="15.75" customHeight="1">
      <c r="B634" s="12"/>
      <c r="C634" s="12"/>
      <c r="D634" s="12"/>
      <c r="E634" s="12"/>
      <c r="I634" s="14"/>
      <c r="J634" s="14"/>
      <c r="K634" s="15"/>
      <c r="P634" s="15"/>
      <c r="R634" s="16"/>
    </row>
    <row r="635" ht="15.75" customHeight="1">
      <c r="B635" s="12"/>
      <c r="C635" s="12"/>
      <c r="D635" s="12"/>
      <c r="E635" s="12"/>
      <c r="I635" s="14"/>
      <c r="J635" s="14"/>
      <c r="K635" s="15"/>
      <c r="P635" s="15"/>
      <c r="R635" s="16"/>
    </row>
    <row r="636" ht="15.75" customHeight="1">
      <c r="B636" s="12"/>
      <c r="C636" s="12"/>
      <c r="D636" s="12"/>
      <c r="E636" s="12"/>
      <c r="I636" s="14"/>
      <c r="J636" s="14"/>
      <c r="K636" s="15"/>
      <c r="P636" s="15"/>
      <c r="R636" s="16"/>
    </row>
    <row r="637" ht="15.75" customHeight="1">
      <c r="B637" s="12"/>
      <c r="C637" s="12"/>
      <c r="D637" s="12"/>
      <c r="E637" s="12"/>
      <c r="I637" s="14"/>
      <c r="J637" s="14"/>
      <c r="K637" s="15"/>
      <c r="P637" s="15"/>
      <c r="R637" s="16"/>
    </row>
    <row r="638" ht="15.75" customHeight="1">
      <c r="B638" s="12"/>
      <c r="C638" s="12"/>
      <c r="D638" s="12"/>
      <c r="E638" s="12"/>
      <c r="I638" s="14"/>
      <c r="J638" s="14"/>
      <c r="K638" s="15"/>
      <c r="P638" s="15"/>
      <c r="R638" s="16"/>
    </row>
    <row r="639" ht="15.75" customHeight="1">
      <c r="B639" s="12"/>
      <c r="C639" s="12"/>
      <c r="D639" s="12"/>
      <c r="E639" s="12"/>
      <c r="I639" s="14"/>
      <c r="J639" s="14"/>
      <c r="K639" s="15"/>
      <c r="P639" s="15"/>
      <c r="R639" s="16"/>
    </row>
    <row r="640" ht="15.75" customHeight="1">
      <c r="B640" s="12"/>
      <c r="C640" s="12"/>
      <c r="D640" s="12"/>
      <c r="E640" s="12"/>
      <c r="I640" s="14"/>
      <c r="J640" s="14"/>
      <c r="K640" s="15"/>
      <c r="P640" s="15"/>
      <c r="R640" s="16"/>
    </row>
    <row r="641" ht="15.75" customHeight="1">
      <c r="B641" s="12"/>
      <c r="C641" s="12"/>
      <c r="D641" s="12"/>
      <c r="E641" s="12"/>
      <c r="I641" s="14"/>
      <c r="J641" s="14"/>
      <c r="K641" s="15"/>
      <c r="P641" s="15"/>
      <c r="R641" s="16"/>
    </row>
    <row r="642" ht="15.75" customHeight="1">
      <c r="B642" s="12"/>
      <c r="C642" s="12"/>
      <c r="D642" s="12"/>
      <c r="E642" s="12"/>
      <c r="I642" s="14"/>
      <c r="J642" s="14"/>
      <c r="K642" s="15"/>
      <c r="P642" s="15"/>
      <c r="R642" s="16"/>
    </row>
    <row r="643" ht="15.75" customHeight="1">
      <c r="B643" s="12"/>
      <c r="C643" s="12"/>
      <c r="D643" s="12"/>
      <c r="E643" s="12"/>
      <c r="I643" s="14"/>
      <c r="J643" s="14"/>
      <c r="K643" s="15"/>
      <c r="P643" s="15"/>
      <c r="R643" s="16"/>
    </row>
    <row r="644" ht="15.75" customHeight="1">
      <c r="B644" s="12"/>
      <c r="C644" s="12"/>
      <c r="D644" s="12"/>
      <c r="E644" s="12"/>
      <c r="I644" s="14"/>
      <c r="J644" s="14"/>
      <c r="K644" s="15"/>
      <c r="P644" s="15"/>
      <c r="R644" s="16"/>
    </row>
    <row r="645" ht="15.75" customHeight="1">
      <c r="B645" s="12"/>
      <c r="C645" s="12"/>
      <c r="D645" s="12"/>
      <c r="E645" s="12"/>
      <c r="I645" s="14"/>
      <c r="J645" s="14"/>
      <c r="K645" s="15"/>
      <c r="P645" s="15"/>
      <c r="R645" s="16"/>
    </row>
    <row r="646" ht="15.75" customHeight="1">
      <c r="B646" s="12"/>
      <c r="C646" s="12"/>
      <c r="D646" s="12"/>
      <c r="E646" s="12"/>
      <c r="I646" s="14"/>
      <c r="J646" s="14"/>
      <c r="K646" s="15"/>
      <c r="P646" s="15"/>
      <c r="R646" s="16"/>
    </row>
    <row r="647" ht="15.75" customHeight="1">
      <c r="B647" s="12"/>
      <c r="C647" s="12"/>
      <c r="D647" s="12"/>
      <c r="E647" s="12"/>
      <c r="I647" s="14"/>
      <c r="J647" s="14"/>
      <c r="K647" s="15"/>
      <c r="P647" s="15"/>
      <c r="R647" s="16"/>
    </row>
    <row r="648" ht="15.75" customHeight="1">
      <c r="B648" s="12"/>
      <c r="C648" s="12"/>
      <c r="D648" s="12"/>
      <c r="E648" s="12"/>
      <c r="I648" s="14"/>
      <c r="J648" s="14"/>
      <c r="K648" s="15"/>
      <c r="P648" s="15"/>
      <c r="R648" s="16"/>
    </row>
    <row r="649" ht="15.75" customHeight="1">
      <c r="B649" s="12"/>
      <c r="C649" s="12"/>
      <c r="D649" s="12"/>
      <c r="E649" s="12"/>
      <c r="I649" s="14"/>
      <c r="J649" s="14"/>
      <c r="K649" s="15"/>
      <c r="P649" s="15"/>
      <c r="R649" s="16"/>
    </row>
    <row r="650" ht="15.75" customHeight="1">
      <c r="B650" s="12"/>
      <c r="C650" s="12"/>
      <c r="D650" s="12"/>
      <c r="E650" s="12"/>
      <c r="I650" s="14"/>
      <c r="J650" s="14"/>
      <c r="K650" s="15"/>
      <c r="P650" s="15"/>
      <c r="R650" s="16"/>
    </row>
    <row r="651" ht="15.75" customHeight="1">
      <c r="B651" s="12"/>
      <c r="C651" s="12"/>
      <c r="D651" s="12"/>
      <c r="E651" s="12"/>
      <c r="I651" s="14"/>
      <c r="J651" s="14"/>
      <c r="K651" s="15"/>
      <c r="P651" s="15"/>
      <c r="R651" s="16"/>
    </row>
    <row r="652" ht="15.75" customHeight="1">
      <c r="B652" s="12"/>
      <c r="C652" s="12"/>
      <c r="D652" s="12"/>
      <c r="E652" s="12"/>
      <c r="I652" s="14"/>
      <c r="J652" s="14"/>
      <c r="K652" s="15"/>
      <c r="P652" s="15"/>
      <c r="R652" s="16"/>
    </row>
    <row r="653" ht="15.75" customHeight="1">
      <c r="B653" s="12"/>
      <c r="C653" s="12"/>
      <c r="D653" s="12"/>
      <c r="E653" s="12"/>
      <c r="I653" s="14"/>
      <c r="J653" s="14"/>
      <c r="K653" s="15"/>
      <c r="P653" s="15"/>
      <c r="R653" s="16"/>
    </row>
    <row r="654" ht="15.75" customHeight="1">
      <c r="B654" s="12"/>
      <c r="C654" s="12"/>
      <c r="D654" s="12"/>
      <c r="E654" s="12"/>
      <c r="I654" s="14"/>
      <c r="J654" s="14"/>
      <c r="K654" s="15"/>
      <c r="P654" s="15"/>
      <c r="R654" s="16"/>
    </row>
    <row r="655" ht="15.75" customHeight="1">
      <c r="B655" s="12"/>
      <c r="C655" s="12"/>
      <c r="D655" s="12"/>
      <c r="E655" s="12"/>
      <c r="I655" s="14"/>
      <c r="J655" s="14"/>
      <c r="K655" s="15"/>
      <c r="P655" s="15"/>
      <c r="R655" s="16"/>
    </row>
    <row r="656" ht="15.75" customHeight="1">
      <c r="B656" s="12"/>
      <c r="C656" s="12"/>
      <c r="D656" s="12"/>
      <c r="E656" s="12"/>
      <c r="I656" s="14"/>
      <c r="J656" s="14"/>
      <c r="K656" s="15"/>
      <c r="P656" s="15"/>
      <c r="R656" s="16"/>
    </row>
    <row r="657" ht="15.75" customHeight="1">
      <c r="B657" s="12"/>
      <c r="C657" s="12"/>
      <c r="D657" s="12"/>
      <c r="E657" s="12"/>
      <c r="I657" s="14"/>
      <c r="J657" s="14"/>
      <c r="K657" s="15"/>
      <c r="P657" s="15"/>
      <c r="R657" s="16"/>
    </row>
    <row r="658" ht="15.75" customHeight="1">
      <c r="B658" s="12"/>
      <c r="C658" s="12"/>
      <c r="D658" s="12"/>
      <c r="E658" s="12"/>
      <c r="I658" s="14"/>
      <c r="J658" s="14"/>
      <c r="K658" s="15"/>
      <c r="P658" s="15"/>
      <c r="R658" s="16"/>
    </row>
    <row r="659" ht="15.75" customHeight="1">
      <c r="B659" s="12"/>
      <c r="C659" s="12"/>
      <c r="D659" s="12"/>
      <c r="E659" s="12"/>
      <c r="I659" s="14"/>
      <c r="J659" s="14"/>
      <c r="K659" s="15"/>
      <c r="P659" s="15"/>
      <c r="R659" s="16"/>
    </row>
    <row r="660" ht="15.75" customHeight="1">
      <c r="B660" s="12"/>
      <c r="C660" s="12"/>
      <c r="D660" s="12"/>
      <c r="E660" s="12"/>
      <c r="I660" s="14"/>
      <c r="J660" s="14"/>
      <c r="K660" s="15"/>
      <c r="P660" s="15"/>
      <c r="R660" s="16"/>
    </row>
    <row r="661" ht="15.75" customHeight="1">
      <c r="B661" s="12"/>
      <c r="C661" s="12"/>
      <c r="D661" s="12"/>
      <c r="E661" s="12"/>
      <c r="I661" s="14"/>
      <c r="J661" s="14"/>
      <c r="K661" s="15"/>
      <c r="P661" s="15"/>
      <c r="R661" s="16"/>
    </row>
    <row r="662" ht="15.75" customHeight="1">
      <c r="B662" s="12"/>
      <c r="C662" s="12"/>
      <c r="D662" s="12"/>
      <c r="E662" s="12"/>
      <c r="I662" s="14"/>
      <c r="J662" s="14"/>
      <c r="K662" s="15"/>
      <c r="P662" s="15"/>
      <c r="R662" s="16"/>
    </row>
    <row r="663" ht="15.75" customHeight="1">
      <c r="B663" s="12"/>
      <c r="C663" s="12"/>
      <c r="D663" s="12"/>
      <c r="E663" s="12"/>
      <c r="I663" s="14"/>
      <c r="J663" s="14"/>
      <c r="K663" s="15"/>
      <c r="P663" s="15"/>
      <c r="R663" s="16"/>
    </row>
    <row r="664" ht="15.75" customHeight="1">
      <c r="B664" s="12"/>
      <c r="C664" s="12"/>
      <c r="D664" s="12"/>
      <c r="E664" s="12"/>
      <c r="I664" s="14"/>
      <c r="J664" s="14"/>
      <c r="K664" s="15"/>
      <c r="P664" s="15"/>
      <c r="R664" s="16"/>
    </row>
    <row r="665" ht="15.75" customHeight="1">
      <c r="B665" s="12"/>
      <c r="C665" s="12"/>
      <c r="D665" s="12"/>
      <c r="E665" s="12"/>
      <c r="I665" s="14"/>
      <c r="J665" s="14"/>
      <c r="K665" s="15"/>
      <c r="P665" s="15"/>
      <c r="R665" s="16"/>
    </row>
    <row r="666" ht="15.75" customHeight="1">
      <c r="B666" s="12"/>
      <c r="C666" s="12"/>
      <c r="D666" s="12"/>
      <c r="E666" s="12"/>
      <c r="I666" s="14"/>
      <c r="J666" s="14"/>
      <c r="K666" s="15"/>
      <c r="P666" s="15"/>
      <c r="R666" s="16"/>
    </row>
    <row r="667" ht="15.75" customHeight="1">
      <c r="B667" s="12"/>
      <c r="C667" s="12"/>
      <c r="D667" s="12"/>
      <c r="E667" s="12"/>
      <c r="I667" s="14"/>
      <c r="J667" s="14"/>
      <c r="K667" s="15"/>
      <c r="P667" s="15"/>
      <c r="R667" s="16"/>
    </row>
    <row r="668" ht="15.75" customHeight="1">
      <c r="B668" s="12"/>
      <c r="C668" s="12"/>
      <c r="D668" s="12"/>
      <c r="E668" s="12"/>
      <c r="I668" s="14"/>
      <c r="J668" s="14"/>
      <c r="K668" s="15"/>
      <c r="P668" s="15"/>
      <c r="R668" s="16"/>
    </row>
    <row r="669" ht="15.75" customHeight="1">
      <c r="B669" s="12"/>
      <c r="C669" s="12"/>
      <c r="D669" s="12"/>
      <c r="E669" s="12"/>
      <c r="I669" s="14"/>
      <c r="J669" s="14"/>
      <c r="K669" s="15"/>
      <c r="P669" s="15"/>
      <c r="R669" s="16"/>
    </row>
    <row r="670" ht="15.75" customHeight="1">
      <c r="B670" s="12"/>
      <c r="C670" s="12"/>
      <c r="D670" s="12"/>
      <c r="E670" s="12"/>
      <c r="I670" s="14"/>
      <c r="J670" s="14"/>
      <c r="K670" s="15"/>
      <c r="P670" s="15"/>
      <c r="R670" s="16"/>
    </row>
    <row r="671" ht="15.75" customHeight="1">
      <c r="B671" s="12"/>
      <c r="C671" s="12"/>
      <c r="D671" s="12"/>
      <c r="E671" s="12"/>
      <c r="I671" s="14"/>
      <c r="J671" s="14"/>
      <c r="K671" s="15"/>
      <c r="P671" s="15"/>
      <c r="R671" s="16"/>
    </row>
    <row r="672" ht="15.75" customHeight="1">
      <c r="B672" s="12"/>
      <c r="C672" s="12"/>
      <c r="D672" s="12"/>
      <c r="E672" s="12"/>
      <c r="I672" s="14"/>
      <c r="J672" s="14"/>
      <c r="K672" s="15"/>
      <c r="P672" s="15"/>
      <c r="R672" s="16"/>
    </row>
    <row r="673" ht="15.75" customHeight="1">
      <c r="B673" s="12"/>
      <c r="C673" s="12"/>
      <c r="D673" s="12"/>
      <c r="E673" s="12"/>
      <c r="I673" s="14"/>
      <c r="J673" s="14"/>
      <c r="K673" s="15"/>
      <c r="P673" s="15"/>
      <c r="R673" s="16"/>
    </row>
    <row r="674" ht="15.75" customHeight="1">
      <c r="B674" s="12"/>
      <c r="C674" s="12"/>
      <c r="D674" s="12"/>
      <c r="E674" s="12"/>
      <c r="I674" s="14"/>
      <c r="J674" s="14"/>
      <c r="K674" s="15"/>
      <c r="P674" s="15"/>
      <c r="R674" s="16"/>
    </row>
    <row r="675" ht="15.75" customHeight="1">
      <c r="B675" s="12"/>
      <c r="C675" s="12"/>
      <c r="D675" s="12"/>
      <c r="E675" s="12"/>
      <c r="I675" s="14"/>
      <c r="J675" s="14"/>
      <c r="K675" s="15"/>
      <c r="P675" s="15"/>
      <c r="R675" s="16"/>
    </row>
    <row r="676" ht="15.75" customHeight="1">
      <c r="B676" s="12"/>
      <c r="C676" s="12"/>
      <c r="D676" s="12"/>
      <c r="E676" s="12"/>
      <c r="I676" s="14"/>
      <c r="J676" s="14"/>
      <c r="K676" s="15"/>
      <c r="P676" s="15"/>
      <c r="R676" s="16"/>
    </row>
    <row r="677" ht="15.75" customHeight="1">
      <c r="B677" s="12"/>
      <c r="C677" s="12"/>
      <c r="D677" s="12"/>
      <c r="E677" s="12"/>
      <c r="I677" s="14"/>
      <c r="J677" s="14"/>
      <c r="K677" s="15"/>
      <c r="P677" s="15"/>
      <c r="R677" s="16"/>
    </row>
    <row r="678" ht="15.75" customHeight="1">
      <c r="B678" s="12"/>
      <c r="C678" s="12"/>
      <c r="D678" s="12"/>
      <c r="E678" s="12"/>
      <c r="I678" s="14"/>
      <c r="J678" s="14"/>
      <c r="K678" s="15"/>
      <c r="P678" s="15"/>
      <c r="R678" s="16"/>
    </row>
    <row r="679" ht="15.75" customHeight="1">
      <c r="B679" s="12"/>
      <c r="C679" s="12"/>
      <c r="D679" s="12"/>
      <c r="E679" s="12"/>
      <c r="I679" s="14"/>
      <c r="J679" s="14"/>
      <c r="K679" s="15"/>
      <c r="P679" s="15"/>
      <c r="R679" s="16"/>
    </row>
    <row r="680" ht="15.75" customHeight="1">
      <c r="B680" s="12"/>
      <c r="C680" s="12"/>
      <c r="D680" s="12"/>
      <c r="E680" s="12"/>
      <c r="I680" s="14"/>
      <c r="J680" s="14"/>
      <c r="K680" s="15"/>
      <c r="P680" s="15"/>
      <c r="R680" s="16"/>
    </row>
    <row r="681" ht="15.75" customHeight="1">
      <c r="B681" s="12"/>
      <c r="C681" s="12"/>
      <c r="D681" s="12"/>
      <c r="E681" s="12"/>
      <c r="I681" s="14"/>
      <c r="J681" s="14"/>
      <c r="K681" s="15"/>
      <c r="P681" s="15"/>
      <c r="R681" s="16"/>
    </row>
    <row r="682" ht="15.75" customHeight="1">
      <c r="B682" s="12"/>
      <c r="C682" s="12"/>
      <c r="D682" s="12"/>
      <c r="E682" s="12"/>
      <c r="I682" s="14"/>
      <c r="J682" s="14"/>
      <c r="K682" s="15"/>
      <c r="P682" s="15"/>
      <c r="R682" s="16"/>
    </row>
    <row r="683" ht="15.75" customHeight="1">
      <c r="B683" s="12"/>
      <c r="C683" s="12"/>
      <c r="D683" s="12"/>
      <c r="E683" s="12"/>
      <c r="I683" s="14"/>
      <c r="J683" s="14"/>
      <c r="K683" s="15"/>
      <c r="P683" s="15"/>
      <c r="R683" s="16"/>
    </row>
    <row r="684" ht="15.75" customHeight="1">
      <c r="B684" s="12"/>
      <c r="C684" s="12"/>
      <c r="D684" s="12"/>
      <c r="E684" s="12"/>
      <c r="I684" s="14"/>
      <c r="J684" s="14"/>
      <c r="K684" s="15"/>
      <c r="P684" s="15"/>
      <c r="R684" s="16"/>
    </row>
    <row r="685" ht="15.75" customHeight="1">
      <c r="B685" s="12"/>
      <c r="C685" s="12"/>
      <c r="D685" s="12"/>
      <c r="E685" s="12"/>
      <c r="I685" s="14"/>
      <c r="J685" s="14"/>
      <c r="K685" s="15"/>
      <c r="P685" s="15"/>
      <c r="R685" s="16"/>
    </row>
    <row r="686" ht="15.75" customHeight="1">
      <c r="B686" s="12"/>
      <c r="C686" s="12"/>
      <c r="D686" s="12"/>
      <c r="E686" s="12"/>
      <c r="I686" s="14"/>
      <c r="J686" s="14"/>
      <c r="K686" s="15"/>
      <c r="P686" s="15"/>
      <c r="R686" s="16"/>
    </row>
    <row r="687" ht="15.75" customHeight="1">
      <c r="B687" s="12"/>
      <c r="C687" s="12"/>
      <c r="D687" s="12"/>
      <c r="E687" s="12"/>
      <c r="I687" s="14"/>
      <c r="J687" s="14"/>
      <c r="K687" s="15"/>
      <c r="P687" s="15"/>
      <c r="R687" s="16"/>
    </row>
    <row r="688" ht="15.75" customHeight="1">
      <c r="B688" s="12"/>
      <c r="C688" s="12"/>
      <c r="D688" s="12"/>
      <c r="E688" s="12"/>
      <c r="I688" s="14"/>
      <c r="J688" s="14"/>
      <c r="K688" s="15"/>
      <c r="P688" s="15"/>
      <c r="R688" s="16"/>
    </row>
    <row r="689" ht="15.75" customHeight="1">
      <c r="B689" s="12"/>
      <c r="C689" s="12"/>
      <c r="D689" s="12"/>
      <c r="E689" s="12"/>
      <c r="I689" s="14"/>
      <c r="J689" s="14"/>
      <c r="K689" s="15"/>
      <c r="P689" s="15"/>
      <c r="R689" s="16"/>
    </row>
    <row r="690" ht="15.75" customHeight="1">
      <c r="B690" s="12"/>
      <c r="C690" s="12"/>
      <c r="D690" s="12"/>
      <c r="E690" s="12"/>
      <c r="I690" s="14"/>
      <c r="J690" s="14"/>
      <c r="K690" s="15"/>
      <c r="P690" s="15"/>
      <c r="R690" s="16"/>
    </row>
    <row r="691" ht="15.75" customHeight="1">
      <c r="B691" s="12"/>
      <c r="C691" s="12"/>
      <c r="D691" s="12"/>
      <c r="E691" s="12"/>
      <c r="I691" s="14"/>
      <c r="J691" s="14"/>
      <c r="K691" s="15"/>
      <c r="P691" s="15"/>
      <c r="R691" s="16"/>
    </row>
    <row r="692" ht="15.75" customHeight="1">
      <c r="B692" s="12"/>
      <c r="C692" s="12"/>
      <c r="D692" s="12"/>
      <c r="E692" s="12"/>
      <c r="I692" s="14"/>
      <c r="J692" s="14"/>
      <c r="K692" s="15"/>
      <c r="P692" s="15"/>
      <c r="R692" s="16"/>
    </row>
    <row r="693" ht="15.75" customHeight="1">
      <c r="B693" s="12"/>
      <c r="C693" s="12"/>
      <c r="D693" s="12"/>
      <c r="E693" s="12"/>
      <c r="I693" s="14"/>
      <c r="J693" s="14"/>
      <c r="K693" s="15"/>
      <c r="P693" s="15"/>
      <c r="R693" s="16"/>
    </row>
    <row r="694" ht="15.75" customHeight="1">
      <c r="B694" s="12"/>
      <c r="C694" s="12"/>
      <c r="D694" s="12"/>
      <c r="E694" s="12"/>
      <c r="I694" s="14"/>
      <c r="J694" s="14"/>
      <c r="K694" s="15"/>
      <c r="P694" s="15"/>
      <c r="R694" s="16"/>
    </row>
    <row r="695" ht="15.75" customHeight="1">
      <c r="B695" s="12"/>
      <c r="C695" s="12"/>
      <c r="D695" s="12"/>
      <c r="E695" s="12"/>
      <c r="I695" s="14"/>
      <c r="J695" s="14"/>
      <c r="K695" s="15"/>
      <c r="P695" s="15"/>
      <c r="R695" s="16"/>
    </row>
    <row r="696" ht="15.75" customHeight="1">
      <c r="B696" s="12"/>
      <c r="C696" s="12"/>
      <c r="D696" s="12"/>
      <c r="E696" s="12"/>
      <c r="I696" s="14"/>
      <c r="J696" s="14"/>
      <c r="K696" s="15"/>
      <c r="P696" s="15"/>
      <c r="R696" s="16"/>
    </row>
    <row r="697" ht="15.75" customHeight="1">
      <c r="B697" s="12"/>
      <c r="C697" s="12"/>
      <c r="D697" s="12"/>
      <c r="E697" s="12"/>
      <c r="I697" s="14"/>
      <c r="J697" s="14"/>
      <c r="K697" s="15"/>
      <c r="P697" s="15"/>
      <c r="R697" s="16"/>
    </row>
    <row r="698" ht="15.75" customHeight="1">
      <c r="B698" s="12"/>
      <c r="C698" s="12"/>
      <c r="D698" s="12"/>
      <c r="E698" s="12"/>
      <c r="I698" s="14"/>
      <c r="J698" s="14"/>
      <c r="K698" s="15"/>
      <c r="P698" s="15"/>
      <c r="R698" s="16"/>
    </row>
    <row r="699" ht="15.75" customHeight="1">
      <c r="B699" s="12"/>
      <c r="C699" s="12"/>
      <c r="D699" s="12"/>
      <c r="E699" s="12"/>
      <c r="I699" s="14"/>
      <c r="J699" s="14"/>
      <c r="K699" s="15"/>
      <c r="P699" s="15"/>
      <c r="R699" s="16"/>
    </row>
    <row r="700" ht="15.75" customHeight="1">
      <c r="B700" s="12"/>
      <c r="C700" s="12"/>
      <c r="D700" s="12"/>
      <c r="E700" s="12"/>
      <c r="I700" s="14"/>
      <c r="J700" s="14"/>
      <c r="K700" s="15"/>
      <c r="P700" s="15"/>
      <c r="R700" s="16"/>
    </row>
    <row r="701" ht="15.75" customHeight="1">
      <c r="B701" s="12"/>
      <c r="C701" s="12"/>
      <c r="D701" s="12"/>
      <c r="E701" s="12"/>
      <c r="I701" s="14"/>
      <c r="J701" s="14"/>
      <c r="K701" s="15"/>
      <c r="P701" s="15"/>
      <c r="R701" s="16"/>
    </row>
    <row r="702" ht="15.75" customHeight="1">
      <c r="B702" s="12"/>
      <c r="C702" s="12"/>
      <c r="D702" s="12"/>
      <c r="E702" s="12"/>
      <c r="I702" s="14"/>
      <c r="J702" s="14"/>
      <c r="K702" s="15"/>
      <c r="P702" s="15"/>
      <c r="R702" s="16"/>
    </row>
    <row r="703" ht="15.75" customHeight="1">
      <c r="B703" s="12"/>
      <c r="C703" s="12"/>
      <c r="D703" s="12"/>
      <c r="E703" s="12"/>
      <c r="I703" s="14"/>
      <c r="J703" s="14"/>
      <c r="K703" s="15"/>
      <c r="P703" s="15"/>
      <c r="R703" s="16"/>
    </row>
    <row r="704" ht="15.75" customHeight="1">
      <c r="B704" s="12"/>
      <c r="C704" s="12"/>
      <c r="D704" s="12"/>
      <c r="E704" s="12"/>
      <c r="I704" s="14"/>
      <c r="J704" s="14"/>
      <c r="K704" s="15"/>
      <c r="P704" s="15"/>
      <c r="R704" s="16"/>
    </row>
    <row r="705" ht="15.75" customHeight="1">
      <c r="B705" s="12"/>
      <c r="C705" s="12"/>
      <c r="D705" s="12"/>
      <c r="E705" s="12"/>
      <c r="I705" s="14"/>
      <c r="J705" s="14"/>
      <c r="K705" s="15"/>
      <c r="P705" s="15"/>
      <c r="R705" s="16"/>
    </row>
    <row r="706" ht="15.75" customHeight="1">
      <c r="B706" s="12"/>
      <c r="C706" s="12"/>
      <c r="D706" s="12"/>
      <c r="E706" s="12"/>
      <c r="I706" s="14"/>
      <c r="J706" s="14"/>
      <c r="K706" s="15"/>
      <c r="P706" s="15"/>
      <c r="R706" s="16"/>
    </row>
    <row r="707" ht="15.75" customHeight="1">
      <c r="B707" s="12"/>
      <c r="C707" s="12"/>
      <c r="D707" s="12"/>
      <c r="E707" s="12"/>
      <c r="I707" s="14"/>
      <c r="J707" s="14"/>
      <c r="K707" s="15"/>
      <c r="P707" s="15"/>
      <c r="R707" s="16"/>
    </row>
    <row r="708" ht="15.75" customHeight="1">
      <c r="B708" s="12"/>
      <c r="C708" s="12"/>
      <c r="D708" s="12"/>
      <c r="E708" s="12"/>
      <c r="I708" s="14"/>
      <c r="J708" s="14"/>
      <c r="K708" s="15"/>
      <c r="P708" s="15"/>
      <c r="R708" s="16"/>
    </row>
    <row r="709" ht="15.75" customHeight="1">
      <c r="B709" s="12"/>
      <c r="C709" s="12"/>
      <c r="D709" s="12"/>
      <c r="E709" s="12"/>
      <c r="I709" s="14"/>
      <c r="J709" s="14"/>
      <c r="K709" s="15"/>
      <c r="P709" s="15"/>
      <c r="R709" s="16"/>
    </row>
    <row r="710" ht="15.75" customHeight="1">
      <c r="B710" s="12"/>
      <c r="C710" s="12"/>
      <c r="D710" s="12"/>
      <c r="E710" s="12"/>
      <c r="I710" s="14"/>
      <c r="J710" s="14"/>
      <c r="K710" s="15"/>
      <c r="P710" s="15"/>
      <c r="R710" s="16"/>
    </row>
    <row r="711" ht="15.75" customHeight="1">
      <c r="B711" s="12"/>
      <c r="C711" s="12"/>
      <c r="D711" s="12"/>
      <c r="E711" s="12"/>
      <c r="I711" s="14"/>
      <c r="J711" s="14"/>
      <c r="K711" s="15"/>
      <c r="P711" s="15"/>
      <c r="R711" s="16"/>
    </row>
    <row r="712" ht="15.75" customHeight="1">
      <c r="B712" s="12"/>
      <c r="C712" s="12"/>
      <c r="D712" s="12"/>
      <c r="E712" s="12"/>
      <c r="I712" s="14"/>
      <c r="J712" s="14"/>
      <c r="K712" s="15"/>
      <c r="P712" s="15"/>
      <c r="R712" s="16"/>
    </row>
    <row r="713" ht="15.75" customHeight="1">
      <c r="B713" s="12"/>
      <c r="C713" s="12"/>
      <c r="D713" s="12"/>
      <c r="E713" s="12"/>
      <c r="I713" s="14"/>
      <c r="J713" s="14"/>
      <c r="K713" s="15"/>
      <c r="P713" s="15"/>
      <c r="R713" s="16"/>
    </row>
    <row r="714" ht="15.75" customHeight="1">
      <c r="B714" s="12"/>
      <c r="C714" s="12"/>
      <c r="D714" s="12"/>
      <c r="E714" s="12"/>
      <c r="I714" s="14"/>
      <c r="J714" s="14"/>
      <c r="K714" s="15"/>
      <c r="P714" s="15"/>
      <c r="R714" s="16"/>
    </row>
    <row r="715" ht="15.75" customHeight="1">
      <c r="B715" s="12"/>
      <c r="C715" s="12"/>
      <c r="D715" s="12"/>
      <c r="E715" s="12"/>
      <c r="I715" s="14"/>
      <c r="J715" s="14"/>
      <c r="K715" s="15"/>
      <c r="P715" s="15"/>
      <c r="R715" s="16"/>
    </row>
    <row r="716" ht="15.75" customHeight="1">
      <c r="B716" s="12"/>
      <c r="C716" s="12"/>
      <c r="D716" s="12"/>
      <c r="E716" s="12"/>
      <c r="I716" s="14"/>
      <c r="J716" s="14"/>
      <c r="K716" s="15"/>
      <c r="P716" s="15"/>
      <c r="R716" s="16"/>
    </row>
    <row r="717" ht="15.75" customHeight="1">
      <c r="B717" s="12"/>
      <c r="C717" s="12"/>
      <c r="D717" s="12"/>
      <c r="E717" s="12"/>
      <c r="I717" s="14"/>
      <c r="J717" s="14"/>
      <c r="K717" s="15"/>
      <c r="P717" s="15"/>
      <c r="R717" s="16"/>
    </row>
    <row r="718" ht="15.75" customHeight="1">
      <c r="B718" s="12"/>
      <c r="C718" s="12"/>
      <c r="D718" s="12"/>
      <c r="E718" s="12"/>
      <c r="I718" s="14"/>
      <c r="J718" s="14"/>
      <c r="K718" s="15"/>
      <c r="P718" s="15"/>
      <c r="R718" s="16"/>
    </row>
    <row r="719" ht="15.75" customHeight="1">
      <c r="B719" s="12"/>
      <c r="C719" s="12"/>
      <c r="D719" s="12"/>
      <c r="E719" s="12"/>
      <c r="I719" s="14"/>
      <c r="J719" s="14"/>
      <c r="K719" s="15"/>
      <c r="P719" s="15"/>
      <c r="R719" s="16"/>
    </row>
    <row r="720" ht="15.75" customHeight="1">
      <c r="B720" s="12"/>
      <c r="C720" s="12"/>
      <c r="D720" s="12"/>
      <c r="E720" s="12"/>
      <c r="I720" s="14"/>
      <c r="J720" s="14"/>
      <c r="K720" s="15"/>
      <c r="P720" s="15"/>
      <c r="R720" s="16"/>
    </row>
    <row r="721" ht="15.75" customHeight="1">
      <c r="B721" s="12"/>
      <c r="C721" s="12"/>
      <c r="D721" s="12"/>
      <c r="E721" s="12"/>
      <c r="I721" s="14"/>
      <c r="J721" s="14"/>
      <c r="K721" s="15"/>
      <c r="P721" s="15"/>
      <c r="R721" s="16"/>
    </row>
    <row r="722" ht="15.75" customHeight="1">
      <c r="B722" s="12"/>
      <c r="C722" s="12"/>
      <c r="D722" s="12"/>
      <c r="E722" s="12"/>
      <c r="I722" s="14"/>
      <c r="J722" s="14"/>
      <c r="K722" s="15"/>
      <c r="P722" s="15"/>
      <c r="R722" s="16"/>
    </row>
    <row r="723" ht="15.75" customHeight="1">
      <c r="B723" s="12"/>
      <c r="C723" s="12"/>
      <c r="D723" s="12"/>
      <c r="E723" s="12"/>
      <c r="I723" s="14"/>
      <c r="J723" s="14"/>
      <c r="K723" s="15"/>
      <c r="P723" s="15"/>
      <c r="R723" s="16"/>
    </row>
    <row r="724" ht="15.75" customHeight="1">
      <c r="B724" s="12"/>
      <c r="C724" s="12"/>
      <c r="D724" s="12"/>
      <c r="E724" s="12"/>
      <c r="I724" s="14"/>
      <c r="J724" s="14"/>
      <c r="K724" s="15"/>
      <c r="P724" s="15"/>
      <c r="R724" s="16"/>
    </row>
    <row r="725" ht="15.75" customHeight="1">
      <c r="B725" s="12"/>
      <c r="C725" s="12"/>
      <c r="D725" s="12"/>
      <c r="E725" s="12"/>
      <c r="I725" s="14"/>
      <c r="J725" s="14"/>
      <c r="K725" s="15"/>
      <c r="P725" s="15"/>
      <c r="R725" s="16"/>
    </row>
    <row r="726" ht="15.75" customHeight="1">
      <c r="B726" s="12"/>
      <c r="C726" s="12"/>
      <c r="D726" s="12"/>
      <c r="E726" s="12"/>
      <c r="I726" s="14"/>
      <c r="J726" s="14"/>
      <c r="K726" s="15"/>
      <c r="P726" s="15"/>
      <c r="R726" s="16"/>
    </row>
    <row r="727" ht="15.75" customHeight="1">
      <c r="B727" s="12"/>
      <c r="C727" s="12"/>
      <c r="D727" s="12"/>
      <c r="E727" s="12"/>
      <c r="I727" s="14"/>
      <c r="J727" s="14"/>
      <c r="K727" s="15"/>
      <c r="P727" s="15"/>
      <c r="R727" s="16"/>
    </row>
    <row r="728" ht="15.75" customHeight="1">
      <c r="B728" s="12"/>
      <c r="C728" s="12"/>
      <c r="D728" s="12"/>
      <c r="E728" s="12"/>
      <c r="I728" s="14"/>
      <c r="J728" s="14"/>
      <c r="K728" s="15"/>
      <c r="P728" s="15"/>
      <c r="R728" s="16"/>
    </row>
    <row r="729" ht="15.75" customHeight="1">
      <c r="B729" s="12"/>
      <c r="C729" s="12"/>
      <c r="D729" s="12"/>
      <c r="E729" s="12"/>
      <c r="I729" s="14"/>
      <c r="J729" s="14"/>
      <c r="K729" s="15"/>
      <c r="P729" s="15"/>
      <c r="R729" s="16"/>
    </row>
    <row r="730" ht="15.75" customHeight="1">
      <c r="B730" s="12"/>
      <c r="C730" s="12"/>
      <c r="D730" s="12"/>
      <c r="E730" s="12"/>
      <c r="I730" s="14"/>
      <c r="J730" s="14"/>
      <c r="K730" s="15"/>
      <c r="P730" s="15"/>
      <c r="R730" s="16"/>
    </row>
    <row r="731" ht="15.75" customHeight="1">
      <c r="B731" s="12"/>
      <c r="C731" s="12"/>
      <c r="D731" s="12"/>
      <c r="E731" s="12"/>
      <c r="I731" s="14"/>
      <c r="J731" s="14"/>
      <c r="K731" s="15"/>
      <c r="P731" s="15"/>
      <c r="R731" s="16"/>
    </row>
    <row r="732" ht="15.75" customHeight="1">
      <c r="B732" s="12"/>
      <c r="C732" s="12"/>
      <c r="D732" s="12"/>
      <c r="E732" s="12"/>
      <c r="I732" s="14"/>
      <c r="J732" s="14"/>
      <c r="K732" s="15"/>
      <c r="P732" s="15"/>
      <c r="R732" s="16"/>
    </row>
    <row r="733" ht="15.75" customHeight="1">
      <c r="B733" s="12"/>
      <c r="C733" s="12"/>
      <c r="D733" s="12"/>
      <c r="E733" s="12"/>
      <c r="I733" s="14"/>
      <c r="J733" s="14"/>
      <c r="K733" s="15"/>
      <c r="P733" s="15"/>
      <c r="R733" s="16"/>
    </row>
    <row r="734" ht="15.75" customHeight="1">
      <c r="B734" s="12"/>
      <c r="C734" s="12"/>
      <c r="D734" s="12"/>
      <c r="E734" s="12"/>
      <c r="I734" s="14"/>
      <c r="J734" s="14"/>
      <c r="K734" s="15"/>
      <c r="P734" s="15"/>
      <c r="R734" s="16"/>
    </row>
    <row r="735" ht="15.75" customHeight="1">
      <c r="B735" s="12"/>
      <c r="C735" s="12"/>
      <c r="D735" s="12"/>
      <c r="E735" s="12"/>
      <c r="I735" s="14"/>
      <c r="J735" s="14"/>
      <c r="K735" s="15"/>
      <c r="P735" s="15"/>
      <c r="R735" s="16"/>
    </row>
    <row r="736" ht="15.75" customHeight="1">
      <c r="B736" s="12"/>
      <c r="C736" s="12"/>
      <c r="D736" s="12"/>
      <c r="E736" s="12"/>
      <c r="I736" s="14"/>
      <c r="J736" s="14"/>
      <c r="K736" s="15"/>
      <c r="P736" s="15"/>
      <c r="R736" s="16"/>
    </row>
    <row r="737" ht="15.75" customHeight="1">
      <c r="B737" s="12"/>
      <c r="C737" s="12"/>
      <c r="D737" s="12"/>
      <c r="E737" s="12"/>
      <c r="I737" s="14"/>
      <c r="J737" s="14"/>
      <c r="K737" s="15"/>
      <c r="P737" s="15"/>
      <c r="R737" s="16"/>
    </row>
    <row r="738" ht="15.75" customHeight="1">
      <c r="B738" s="12"/>
      <c r="C738" s="12"/>
      <c r="D738" s="12"/>
      <c r="E738" s="12"/>
      <c r="I738" s="14"/>
      <c r="J738" s="14"/>
      <c r="K738" s="15"/>
      <c r="P738" s="15"/>
      <c r="R738" s="16"/>
    </row>
    <row r="739" ht="15.75" customHeight="1">
      <c r="B739" s="12"/>
      <c r="C739" s="12"/>
      <c r="D739" s="12"/>
      <c r="E739" s="12"/>
      <c r="I739" s="14"/>
      <c r="J739" s="14"/>
      <c r="K739" s="15"/>
      <c r="P739" s="15"/>
      <c r="R739" s="16"/>
    </row>
    <row r="740" ht="15.75" customHeight="1">
      <c r="B740" s="12"/>
      <c r="C740" s="12"/>
      <c r="D740" s="12"/>
      <c r="E740" s="12"/>
      <c r="I740" s="14"/>
      <c r="J740" s="14"/>
      <c r="K740" s="15"/>
      <c r="P740" s="15"/>
      <c r="R740" s="16"/>
    </row>
    <row r="741" ht="15.75" customHeight="1">
      <c r="B741" s="12"/>
      <c r="C741" s="12"/>
      <c r="D741" s="12"/>
      <c r="E741" s="12"/>
      <c r="I741" s="14"/>
      <c r="J741" s="14"/>
      <c r="K741" s="15"/>
      <c r="P741" s="15"/>
      <c r="R741" s="16"/>
    </row>
    <row r="742" ht="15.75" customHeight="1">
      <c r="B742" s="12"/>
      <c r="C742" s="12"/>
      <c r="D742" s="12"/>
      <c r="E742" s="12"/>
      <c r="I742" s="14"/>
      <c r="J742" s="14"/>
      <c r="K742" s="15"/>
      <c r="P742" s="15"/>
      <c r="R742" s="16"/>
    </row>
    <row r="743" ht="15.75" customHeight="1">
      <c r="B743" s="12"/>
      <c r="C743" s="12"/>
      <c r="D743" s="12"/>
      <c r="E743" s="12"/>
      <c r="I743" s="14"/>
      <c r="J743" s="14"/>
      <c r="K743" s="15"/>
      <c r="P743" s="15"/>
      <c r="R743" s="16"/>
    </row>
    <row r="744" ht="15.75" customHeight="1">
      <c r="B744" s="12"/>
      <c r="C744" s="12"/>
      <c r="D744" s="12"/>
      <c r="E744" s="12"/>
      <c r="I744" s="14"/>
      <c r="J744" s="14"/>
      <c r="K744" s="15"/>
      <c r="P744" s="15"/>
      <c r="R744" s="16"/>
    </row>
    <row r="745" ht="15.75" customHeight="1">
      <c r="B745" s="12"/>
      <c r="C745" s="12"/>
      <c r="D745" s="12"/>
      <c r="E745" s="12"/>
      <c r="I745" s="14"/>
      <c r="J745" s="14"/>
      <c r="K745" s="15"/>
      <c r="P745" s="15"/>
      <c r="R745" s="16"/>
    </row>
    <row r="746" ht="15.75" customHeight="1">
      <c r="B746" s="12"/>
      <c r="C746" s="12"/>
      <c r="D746" s="12"/>
      <c r="E746" s="12"/>
      <c r="I746" s="14"/>
      <c r="J746" s="14"/>
      <c r="K746" s="15"/>
      <c r="P746" s="15"/>
      <c r="R746" s="16"/>
    </row>
    <row r="747" ht="15.75" customHeight="1">
      <c r="B747" s="12"/>
      <c r="C747" s="12"/>
      <c r="D747" s="12"/>
      <c r="E747" s="12"/>
      <c r="I747" s="14"/>
      <c r="J747" s="14"/>
      <c r="K747" s="15"/>
      <c r="P747" s="15"/>
      <c r="R747" s="16"/>
    </row>
    <row r="748" ht="15.75" customHeight="1">
      <c r="B748" s="12"/>
      <c r="C748" s="12"/>
      <c r="D748" s="12"/>
      <c r="E748" s="12"/>
      <c r="I748" s="14"/>
      <c r="J748" s="14"/>
      <c r="K748" s="15"/>
      <c r="P748" s="15"/>
      <c r="R748" s="16"/>
    </row>
    <row r="749" ht="15.75" customHeight="1">
      <c r="B749" s="12"/>
      <c r="C749" s="12"/>
      <c r="D749" s="12"/>
      <c r="E749" s="12"/>
      <c r="I749" s="14"/>
      <c r="J749" s="14"/>
      <c r="K749" s="15"/>
      <c r="P749" s="15"/>
      <c r="R749" s="16"/>
    </row>
    <row r="750" ht="15.75" customHeight="1">
      <c r="B750" s="12"/>
      <c r="C750" s="12"/>
      <c r="D750" s="12"/>
      <c r="E750" s="12"/>
      <c r="I750" s="14"/>
      <c r="J750" s="14"/>
      <c r="K750" s="15"/>
      <c r="P750" s="15"/>
      <c r="R750" s="16"/>
    </row>
    <row r="751" ht="15.75" customHeight="1">
      <c r="B751" s="12"/>
      <c r="C751" s="12"/>
      <c r="D751" s="12"/>
      <c r="E751" s="12"/>
      <c r="I751" s="14"/>
      <c r="J751" s="14"/>
      <c r="K751" s="15"/>
      <c r="P751" s="15"/>
      <c r="R751" s="16"/>
    </row>
    <row r="752" ht="15.75" customHeight="1">
      <c r="B752" s="12"/>
      <c r="C752" s="12"/>
      <c r="D752" s="12"/>
      <c r="E752" s="12"/>
      <c r="I752" s="14"/>
      <c r="J752" s="14"/>
      <c r="K752" s="15"/>
      <c r="P752" s="15"/>
      <c r="R752" s="16"/>
    </row>
    <row r="753" ht="15.75" customHeight="1">
      <c r="B753" s="12"/>
      <c r="C753" s="12"/>
      <c r="D753" s="12"/>
      <c r="E753" s="12"/>
      <c r="I753" s="14"/>
      <c r="J753" s="14"/>
      <c r="K753" s="15"/>
      <c r="P753" s="15"/>
      <c r="R753" s="16"/>
    </row>
    <row r="754" ht="15.75" customHeight="1">
      <c r="B754" s="12"/>
      <c r="C754" s="12"/>
      <c r="D754" s="12"/>
      <c r="E754" s="12"/>
      <c r="I754" s="14"/>
      <c r="J754" s="14"/>
      <c r="K754" s="15"/>
      <c r="P754" s="15"/>
      <c r="R754" s="16"/>
    </row>
    <row r="755" ht="15.75" customHeight="1">
      <c r="B755" s="12"/>
      <c r="C755" s="12"/>
      <c r="D755" s="12"/>
      <c r="E755" s="12"/>
      <c r="I755" s="14"/>
      <c r="J755" s="14"/>
      <c r="K755" s="15"/>
      <c r="P755" s="15"/>
      <c r="R755" s="16"/>
    </row>
    <row r="756" ht="15.75" customHeight="1">
      <c r="B756" s="12"/>
      <c r="C756" s="12"/>
      <c r="D756" s="12"/>
      <c r="E756" s="12"/>
      <c r="I756" s="14"/>
      <c r="J756" s="14"/>
      <c r="K756" s="15"/>
      <c r="P756" s="15"/>
      <c r="R756" s="16"/>
    </row>
    <row r="757" ht="15.75" customHeight="1">
      <c r="B757" s="12"/>
      <c r="C757" s="12"/>
      <c r="D757" s="12"/>
      <c r="E757" s="12"/>
      <c r="I757" s="14"/>
      <c r="J757" s="14"/>
      <c r="K757" s="15"/>
      <c r="P757" s="15"/>
      <c r="R757" s="16"/>
    </row>
    <row r="758" ht="15.75" customHeight="1">
      <c r="B758" s="12"/>
      <c r="C758" s="12"/>
      <c r="D758" s="12"/>
      <c r="E758" s="12"/>
      <c r="I758" s="14"/>
      <c r="J758" s="14"/>
      <c r="K758" s="15"/>
      <c r="P758" s="15"/>
      <c r="R758" s="16"/>
    </row>
    <row r="759" ht="15.75" customHeight="1">
      <c r="B759" s="12"/>
      <c r="C759" s="12"/>
      <c r="D759" s="12"/>
      <c r="E759" s="12"/>
      <c r="I759" s="14"/>
      <c r="J759" s="14"/>
      <c r="K759" s="15"/>
      <c r="P759" s="15"/>
      <c r="R759" s="16"/>
    </row>
    <row r="760" ht="15.75" customHeight="1">
      <c r="B760" s="12"/>
      <c r="C760" s="12"/>
      <c r="D760" s="12"/>
      <c r="E760" s="12"/>
      <c r="I760" s="14"/>
      <c r="J760" s="14"/>
      <c r="K760" s="15"/>
      <c r="P760" s="15"/>
      <c r="R760" s="16"/>
    </row>
    <row r="761" ht="15.75" customHeight="1">
      <c r="B761" s="12"/>
      <c r="C761" s="12"/>
      <c r="D761" s="12"/>
      <c r="E761" s="12"/>
      <c r="I761" s="14"/>
      <c r="J761" s="14"/>
      <c r="K761" s="15"/>
      <c r="P761" s="15"/>
      <c r="R761" s="16"/>
    </row>
    <row r="762" ht="15.75" customHeight="1">
      <c r="B762" s="12"/>
      <c r="C762" s="12"/>
      <c r="D762" s="12"/>
      <c r="E762" s="12"/>
      <c r="I762" s="14"/>
      <c r="J762" s="14"/>
      <c r="K762" s="15"/>
      <c r="P762" s="15"/>
      <c r="R762" s="16"/>
    </row>
    <row r="763" ht="15.75" customHeight="1">
      <c r="B763" s="12"/>
      <c r="C763" s="12"/>
      <c r="D763" s="12"/>
      <c r="E763" s="12"/>
      <c r="I763" s="14"/>
      <c r="J763" s="14"/>
      <c r="K763" s="15"/>
      <c r="P763" s="15"/>
      <c r="R763" s="16"/>
    </row>
    <row r="764" ht="15.75" customHeight="1">
      <c r="B764" s="12"/>
      <c r="C764" s="12"/>
      <c r="D764" s="12"/>
      <c r="E764" s="12"/>
      <c r="I764" s="14"/>
      <c r="J764" s="14"/>
      <c r="K764" s="15"/>
      <c r="P764" s="15"/>
      <c r="R764" s="16"/>
    </row>
    <row r="765" ht="15.75" customHeight="1">
      <c r="B765" s="12"/>
      <c r="C765" s="12"/>
      <c r="D765" s="12"/>
      <c r="E765" s="12"/>
      <c r="I765" s="14"/>
      <c r="J765" s="14"/>
      <c r="K765" s="15"/>
      <c r="P765" s="15"/>
      <c r="R765" s="16"/>
    </row>
    <row r="766" ht="15.75" customHeight="1">
      <c r="B766" s="12"/>
      <c r="C766" s="12"/>
      <c r="D766" s="12"/>
      <c r="E766" s="12"/>
      <c r="I766" s="14"/>
      <c r="J766" s="14"/>
      <c r="K766" s="15"/>
      <c r="P766" s="15"/>
      <c r="R766" s="16"/>
    </row>
    <row r="767" ht="15.75" customHeight="1">
      <c r="B767" s="12"/>
      <c r="C767" s="12"/>
      <c r="D767" s="12"/>
      <c r="E767" s="12"/>
      <c r="I767" s="14"/>
      <c r="J767" s="14"/>
      <c r="K767" s="15"/>
      <c r="P767" s="15"/>
      <c r="R767" s="16"/>
    </row>
    <row r="768" ht="15.75" customHeight="1">
      <c r="B768" s="12"/>
      <c r="C768" s="12"/>
      <c r="D768" s="12"/>
      <c r="E768" s="12"/>
      <c r="I768" s="14"/>
      <c r="J768" s="14"/>
      <c r="K768" s="15"/>
      <c r="P768" s="15"/>
      <c r="R768" s="16"/>
    </row>
    <row r="769" ht="15.75" customHeight="1">
      <c r="B769" s="12"/>
      <c r="C769" s="12"/>
      <c r="D769" s="12"/>
      <c r="E769" s="12"/>
      <c r="I769" s="14"/>
      <c r="J769" s="14"/>
      <c r="K769" s="15"/>
      <c r="P769" s="15"/>
      <c r="R769" s="16"/>
    </row>
    <row r="770" ht="15.75" customHeight="1">
      <c r="B770" s="12"/>
      <c r="C770" s="12"/>
      <c r="D770" s="12"/>
      <c r="E770" s="12"/>
      <c r="I770" s="14"/>
      <c r="J770" s="14"/>
      <c r="K770" s="15"/>
      <c r="P770" s="15"/>
      <c r="R770" s="16"/>
    </row>
    <row r="771" ht="15.75" customHeight="1">
      <c r="B771" s="12"/>
      <c r="C771" s="12"/>
      <c r="D771" s="12"/>
      <c r="E771" s="12"/>
      <c r="I771" s="14"/>
      <c r="J771" s="14"/>
      <c r="K771" s="15"/>
      <c r="P771" s="15"/>
      <c r="R771" s="16"/>
    </row>
    <row r="772" ht="15.75" customHeight="1">
      <c r="B772" s="12"/>
      <c r="C772" s="12"/>
      <c r="D772" s="12"/>
      <c r="E772" s="12"/>
      <c r="I772" s="14"/>
      <c r="J772" s="14"/>
      <c r="K772" s="15"/>
      <c r="P772" s="15"/>
      <c r="R772" s="16"/>
    </row>
    <row r="773" ht="15.75" customHeight="1">
      <c r="B773" s="12"/>
      <c r="C773" s="12"/>
      <c r="D773" s="12"/>
      <c r="E773" s="12"/>
      <c r="I773" s="14"/>
      <c r="J773" s="14"/>
      <c r="K773" s="15"/>
      <c r="P773" s="15"/>
      <c r="R773" s="16"/>
    </row>
    <row r="774" ht="15.75" customHeight="1">
      <c r="B774" s="12"/>
      <c r="C774" s="12"/>
      <c r="D774" s="12"/>
      <c r="E774" s="12"/>
      <c r="I774" s="14"/>
      <c r="J774" s="14"/>
      <c r="K774" s="15"/>
      <c r="P774" s="15"/>
      <c r="R774" s="16"/>
    </row>
    <row r="775" ht="15.75" customHeight="1">
      <c r="B775" s="12"/>
      <c r="C775" s="12"/>
      <c r="D775" s="12"/>
      <c r="E775" s="12"/>
      <c r="I775" s="14"/>
      <c r="J775" s="14"/>
      <c r="K775" s="15"/>
      <c r="P775" s="15"/>
      <c r="R775" s="16"/>
    </row>
    <row r="776" ht="15.75" customHeight="1">
      <c r="B776" s="12"/>
      <c r="C776" s="12"/>
      <c r="D776" s="12"/>
      <c r="E776" s="12"/>
      <c r="I776" s="14"/>
      <c r="J776" s="14"/>
      <c r="K776" s="15"/>
      <c r="P776" s="15"/>
      <c r="R776" s="16"/>
    </row>
    <row r="777" ht="15.75" customHeight="1">
      <c r="B777" s="12"/>
      <c r="C777" s="12"/>
      <c r="D777" s="12"/>
      <c r="E777" s="12"/>
      <c r="I777" s="14"/>
      <c r="J777" s="14"/>
      <c r="K777" s="15"/>
      <c r="P777" s="15"/>
      <c r="R777" s="16"/>
    </row>
    <row r="778" ht="15.75" customHeight="1">
      <c r="B778" s="12"/>
      <c r="C778" s="12"/>
      <c r="D778" s="12"/>
      <c r="E778" s="12"/>
      <c r="I778" s="14"/>
      <c r="J778" s="14"/>
      <c r="K778" s="15"/>
      <c r="P778" s="15"/>
      <c r="R778" s="16"/>
    </row>
    <row r="779" ht="15.75" customHeight="1">
      <c r="B779" s="12"/>
      <c r="C779" s="12"/>
      <c r="D779" s="12"/>
      <c r="E779" s="12"/>
      <c r="I779" s="14"/>
      <c r="J779" s="14"/>
      <c r="K779" s="15"/>
      <c r="P779" s="15"/>
      <c r="R779" s="16"/>
    </row>
    <row r="780" ht="15.75" customHeight="1">
      <c r="B780" s="12"/>
      <c r="C780" s="12"/>
      <c r="D780" s="12"/>
      <c r="E780" s="12"/>
      <c r="I780" s="14"/>
      <c r="J780" s="14"/>
      <c r="K780" s="15"/>
      <c r="P780" s="15"/>
      <c r="R780" s="16"/>
    </row>
    <row r="781" ht="15.75" customHeight="1">
      <c r="B781" s="12"/>
      <c r="C781" s="12"/>
      <c r="D781" s="12"/>
      <c r="E781" s="12"/>
      <c r="I781" s="14"/>
      <c r="J781" s="14"/>
      <c r="K781" s="15"/>
      <c r="P781" s="15"/>
      <c r="R781" s="16"/>
    </row>
    <row r="782" ht="15.75" customHeight="1">
      <c r="B782" s="12"/>
      <c r="C782" s="12"/>
      <c r="D782" s="12"/>
      <c r="E782" s="12"/>
      <c r="I782" s="14"/>
      <c r="J782" s="14"/>
      <c r="K782" s="15"/>
      <c r="P782" s="15"/>
      <c r="R782" s="16"/>
    </row>
    <row r="783" ht="15.75" customHeight="1">
      <c r="B783" s="12"/>
      <c r="C783" s="12"/>
      <c r="D783" s="12"/>
      <c r="E783" s="12"/>
      <c r="I783" s="14"/>
      <c r="J783" s="14"/>
      <c r="K783" s="15"/>
      <c r="P783" s="15"/>
      <c r="R783" s="16"/>
    </row>
    <row r="784" ht="15.75" customHeight="1">
      <c r="B784" s="12"/>
      <c r="C784" s="12"/>
      <c r="D784" s="12"/>
      <c r="E784" s="12"/>
      <c r="I784" s="14"/>
      <c r="J784" s="14"/>
      <c r="K784" s="15"/>
      <c r="P784" s="15"/>
      <c r="R784" s="16"/>
    </row>
    <row r="785" ht="15.75" customHeight="1">
      <c r="B785" s="12"/>
      <c r="C785" s="12"/>
      <c r="D785" s="12"/>
      <c r="E785" s="12"/>
      <c r="I785" s="14"/>
      <c r="J785" s="14"/>
      <c r="K785" s="15"/>
      <c r="P785" s="15"/>
      <c r="R785" s="16"/>
    </row>
    <row r="786" ht="15.75" customHeight="1">
      <c r="B786" s="12"/>
      <c r="C786" s="12"/>
      <c r="D786" s="12"/>
      <c r="E786" s="12"/>
      <c r="I786" s="14"/>
      <c r="J786" s="14"/>
      <c r="K786" s="15"/>
      <c r="P786" s="15"/>
      <c r="R786" s="16"/>
    </row>
    <row r="787" ht="15.75" customHeight="1">
      <c r="B787" s="12"/>
      <c r="C787" s="12"/>
      <c r="D787" s="12"/>
      <c r="E787" s="12"/>
      <c r="I787" s="14"/>
      <c r="J787" s="14"/>
      <c r="K787" s="15"/>
      <c r="P787" s="15"/>
      <c r="R787" s="16"/>
    </row>
    <row r="788" ht="15.75" customHeight="1">
      <c r="B788" s="12"/>
      <c r="C788" s="12"/>
      <c r="D788" s="12"/>
      <c r="E788" s="12"/>
      <c r="I788" s="14"/>
      <c r="J788" s="14"/>
      <c r="K788" s="15"/>
      <c r="P788" s="15"/>
      <c r="R788" s="16"/>
    </row>
    <row r="789" ht="15.75" customHeight="1">
      <c r="B789" s="12"/>
      <c r="C789" s="12"/>
      <c r="D789" s="12"/>
      <c r="E789" s="12"/>
      <c r="I789" s="14"/>
      <c r="J789" s="14"/>
      <c r="K789" s="15"/>
      <c r="P789" s="15"/>
      <c r="R789" s="16"/>
    </row>
    <row r="790" ht="15.75" customHeight="1">
      <c r="B790" s="12"/>
      <c r="C790" s="12"/>
      <c r="D790" s="12"/>
      <c r="E790" s="12"/>
      <c r="I790" s="14"/>
      <c r="J790" s="14"/>
      <c r="K790" s="15"/>
      <c r="P790" s="15"/>
      <c r="R790" s="16"/>
    </row>
    <row r="791" ht="15.75" customHeight="1">
      <c r="B791" s="12"/>
      <c r="C791" s="12"/>
      <c r="D791" s="12"/>
      <c r="E791" s="12"/>
      <c r="I791" s="14"/>
      <c r="J791" s="14"/>
      <c r="K791" s="15"/>
      <c r="P791" s="15"/>
      <c r="R791" s="16"/>
    </row>
    <row r="792" ht="15.75" customHeight="1">
      <c r="B792" s="12"/>
      <c r="C792" s="12"/>
      <c r="D792" s="12"/>
      <c r="E792" s="12"/>
      <c r="I792" s="14"/>
      <c r="J792" s="14"/>
      <c r="K792" s="15"/>
      <c r="P792" s="15"/>
      <c r="R792" s="16"/>
    </row>
    <row r="793" ht="15.75" customHeight="1">
      <c r="B793" s="12"/>
      <c r="C793" s="12"/>
      <c r="D793" s="12"/>
      <c r="E793" s="12"/>
      <c r="I793" s="14"/>
      <c r="J793" s="14"/>
      <c r="K793" s="15"/>
      <c r="P793" s="15"/>
      <c r="R793" s="16"/>
    </row>
    <row r="794" ht="15.75" customHeight="1">
      <c r="B794" s="12"/>
      <c r="C794" s="12"/>
      <c r="D794" s="12"/>
      <c r="E794" s="12"/>
      <c r="I794" s="14"/>
      <c r="J794" s="14"/>
      <c r="K794" s="15"/>
      <c r="P794" s="15"/>
      <c r="R794" s="16"/>
    </row>
    <row r="795" ht="15.75" customHeight="1">
      <c r="B795" s="12"/>
      <c r="C795" s="12"/>
      <c r="D795" s="12"/>
      <c r="E795" s="12"/>
      <c r="I795" s="14"/>
      <c r="J795" s="14"/>
      <c r="K795" s="15"/>
      <c r="P795" s="15"/>
      <c r="R795" s="16"/>
    </row>
    <row r="796" ht="15.75" customHeight="1">
      <c r="B796" s="12"/>
      <c r="C796" s="12"/>
      <c r="D796" s="12"/>
      <c r="E796" s="12"/>
      <c r="I796" s="14"/>
      <c r="J796" s="14"/>
      <c r="K796" s="15"/>
      <c r="P796" s="15"/>
      <c r="R796" s="16"/>
    </row>
    <row r="797" ht="15.75" customHeight="1">
      <c r="B797" s="12"/>
      <c r="C797" s="12"/>
      <c r="D797" s="12"/>
      <c r="E797" s="12"/>
      <c r="I797" s="14"/>
      <c r="J797" s="14"/>
      <c r="K797" s="15"/>
      <c r="P797" s="15"/>
      <c r="R797" s="16"/>
    </row>
    <row r="798" ht="15.75" customHeight="1">
      <c r="B798" s="12"/>
      <c r="C798" s="12"/>
      <c r="D798" s="12"/>
      <c r="E798" s="12"/>
      <c r="I798" s="14"/>
      <c r="J798" s="14"/>
      <c r="K798" s="15"/>
      <c r="P798" s="15"/>
      <c r="R798" s="16"/>
    </row>
    <row r="799" ht="15.75" customHeight="1">
      <c r="B799" s="12"/>
      <c r="C799" s="12"/>
      <c r="D799" s="12"/>
      <c r="E799" s="12"/>
      <c r="I799" s="14"/>
      <c r="J799" s="14"/>
      <c r="K799" s="15"/>
      <c r="P799" s="15"/>
      <c r="R799" s="16"/>
    </row>
    <row r="800" ht="15.75" customHeight="1">
      <c r="B800" s="12"/>
      <c r="C800" s="12"/>
      <c r="D800" s="12"/>
      <c r="E800" s="12"/>
      <c r="I800" s="14"/>
      <c r="J800" s="14"/>
      <c r="K800" s="15"/>
      <c r="P800" s="15"/>
      <c r="R800" s="16"/>
    </row>
    <row r="801" ht="15.75" customHeight="1">
      <c r="B801" s="12"/>
      <c r="C801" s="12"/>
      <c r="D801" s="12"/>
      <c r="E801" s="12"/>
      <c r="I801" s="14"/>
      <c r="J801" s="14"/>
      <c r="K801" s="15"/>
      <c r="P801" s="15"/>
      <c r="R801" s="16"/>
    </row>
    <row r="802" ht="15.75" customHeight="1">
      <c r="B802" s="12"/>
      <c r="C802" s="12"/>
      <c r="D802" s="12"/>
      <c r="E802" s="12"/>
      <c r="I802" s="14"/>
      <c r="J802" s="14"/>
      <c r="K802" s="15"/>
      <c r="P802" s="15"/>
      <c r="R802" s="16"/>
    </row>
    <row r="803" ht="15.75" customHeight="1">
      <c r="B803" s="12"/>
      <c r="C803" s="12"/>
      <c r="D803" s="12"/>
      <c r="E803" s="12"/>
      <c r="I803" s="14"/>
      <c r="J803" s="14"/>
      <c r="K803" s="15"/>
      <c r="P803" s="15"/>
      <c r="R803" s="16"/>
    </row>
    <row r="804" ht="15.75" customHeight="1">
      <c r="B804" s="12"/>
      <c r="C804" s="12"/>
      <c r="D804" s="12"/>
      <c r="E804" s="12"/>
      <c r="I804" s="14"/>
      <c r="J804" s="14"/>
      <c r="K804" s="15"/>
      <c r="P804" s="15"/>
      <c r="R804" s="16"/>
    </row>
    <row r="805" ht="15.75" customHeight="1">
      <c r="B805" s="12"/>
      <c r="C805" s="12"/>
      <c r="D805" s="12"/>
      <c r="E805" s="12"/>
      <c r="I805" s="14"/>
      <c r="J805" s="14"/>
      <c r="K805" s="15"/>
      <c r="P805" s="15"/>
      <c r="R805" s="16"/>
    </row>
    <row r="806" ht="15.75" customHeight="1">
      <c r="B806" s="12"/>
      <c r="C806" s="12"/>
      <c r="D806" s="12"/>
      <c r="E806" s="12"/>
      <c r="I806" s="14"/>
      <c r="J806" s="14"/>
      <c r="K806" s="15"/>
      <c r="P806" s="15"/>
      <c r="R806" s="16"/>
    </row>
    <row r="807" ht="15.75" customHeight="1">
      <c r="B807" s="12"/>
      <c r="C807" s="12"/>
      <c r="D807" s="12"/>
      <c r="E807" s="12"/>
      <c r="I807" s="14"/>
      <c r="J807" s="14"/>
      <c r="K807" s="15"/>
      <c r="P807" s="15"/>
      <c r="R807" s="16"/>
    </row>
    <row r="808" ht="15.75" customHeight="1">
      <c r="B808" s="12"/>
      <c r="C808" s="12"/>
      <c r="D808" s="12"/>
      <c r="E808" s="12"/>
      <c r="I808" s="14"/>
      <c r="J808" s="14"/>
      <c r="K808" s="15"/>
      <c r="P808" s="15"/>
      <c r="R808" s="16"/>
    </row>
    <row r="809" ht="15.75" customHeight="1">
      <c r="B809" s="12"/>
      <c r="C809" s="12"/>
      <c r="D809" s="12"/>
      <c r="E809" s="12"/>
      <c r="I809" s="14"/>
      <c r="J809" s="14"/>
      <c r="K809" s="15"/>
      <c r="P809" s="15"/>
      <c r="R809" s="16"/>
    </row>
    <row r="810" ht="15.75" customHeight="1">
      <c r="B810" s="12"/>
      <c r="C810" s="12"/>
      <c r="D810" s="12"/>
      <c r="E810" s="12"/>
      <c r="I810" s="14"/>
      <c r="J810" s="14"/>
      <c r="K810" s="15"/>
      <c r="P810" s="15"/>
      <c r="R810" s="16"/>
    </row>
    <row r="811" ht="15.75" customHeight="1">
      <c r="B811" s="12"/>
      <c r="C811" s="12"/>
      <c r="D811" s="12"/>
      <c r="E811" s="12"/>
      <c r="I811" s="14"/>
      <c r="J811" s="14"/>
      <c r="K811" s="15"/>
      <c r="P811" s="15"/>
      <c r="R811" s="16"/>
    </row>
    <row r="812" ht="15.75" customHeight="1">
      <c r="B812" s="12"/>
      <c r="C812" s="12"/>
      <c r="D812" s="12"/>
      <c r="E812" s="12"/>
      <c r="I812" s="14"/>
      <c r="J812" s="14"/>
      <c r="K812" s="15"/>
      <c r="P812" s="15"/>
      <c r="R812" s="16"/>
    </row>
    <row r="813" ht="15.75" customHeight="1">
      <c r="B813" s="12"/>
      <c r="C813" s="12"/>
      <c r="D813" s="12"/>
      <c r="E813" s="12"/>
      <c r="I813" s="14"/>
      <c r="J813" s="14"/>
      <c r="K813" s="15"/>
      <c r="P813" s="15"/>
      <c r="R813" s="16"/>
    </row>
    <row r="814" ht="15.75" customHeight="1">
      <c r="B814" s="12"/>
      <c r="C814" s="12"/>
      <c r="D814" s="12"/>
      <c r="E814" s="12"/>
      <c r="I814" s="14"/>
      <c r="J814" s="14"/>
      <c r="K814" s="15"/>
      <c r="P814" s="15"/>
      <c r="R814" s="16"/>
    </row>
    <row r="815" ht="15.75" customHeight="1">
      <c r="B815" s="12"/>
      <c r="C815" s="12"/>
      <c r="D815" s="12"/>
      <c r="E815" s="12"/>
      <c r="I815" s="14"/>
      <c r="J815" s="14"/>
      <c r="K815" s="15"/>
      <c r="P815" s="15"/>
      <c r="R815" s="16"/>
    </row>
    <row r="816" ht="15.75" customHeight="1">
      <c r="B816" s="12"/>
      <c r="C816" s="12"/>
      <c r="D816" s="12"/>
      <c r="E816" s="12"/>
      <c r="I816" s="14"/>
      <c r="J816" s="14"/>
      <c r="K816" s="15"/>
      <c r="P816" s="15"/>
      <c r="R816" s="16"/>
    </row>
    <row r="817" ht="15.75" customHeight="1">
      <c r="B817" s="12"/>
      <c r="C817" s="12"/>
      <c r="D817" s="12"/>
      <c r="E817" s="12"/>
      <c r="I817" s="14"/>
      <c r="J817" s="14"/>
      <c r="K817" s="15"/>
      <c r="P817" s="15"/>
      <c r="R817" s="16"/>
    </row>
    <row r="818" ht="15.75" customHeight="1">
      <c r="B818" s="12"/>
      <c r="C818" s="12"/>
      <c r="D818" s="12"/>
      <c r="E818" s="12"/>
      <c r="I818" s="14"/>
      <c r="J818" s="14"/>
      <c r="K818" s="15"/>
      <c r="P818" s="15"/>
      <c r="R818" s="16"/>
    </row>
    <row r="819" ht="15.75" customHeight="1">
      <c r="B819" s="12"/>
      <c r="C819" s="12"/>
      <c r="D819" s="12"/>
      <c r="E819" s="12"/>
      <c r="I819" s="14"/>
      <c r="J819" s="14"/>
      <c r="K819" s="15"/>
      <c r="P819" s="15"/>
      <c r="R819" s="16"/>
    </row>
    <row r="820" ht="15.75" customHeight="1">
      <c r="B820" s="12"/>
      <c r="C820" s="12"/>
      <c r="D820" s="12"/>
      <c r="E820" s="12"/>
      <c r="I820" s="14"/>
      <c r="J820" s="14"/>
      <c r="K820" s="15"/>
      <c r="P820" s="15"/>
      <c r="R820" s="16"/>
    </row>
    <row r="821" ht="15.75" customHeight="1">
      <c r="B821" s="12"/>
      <c r="C821" s="12"/>
      <c r="D821" s="12"/>
      <c r="E821" s="12"/>
      <c r="I821" s="14"/>
      <c r="J821" s="14"/>
      <c r="K821" s="15"/>
      <c r="P821" s="15"/>
      <c r="R821" s="16"/>
    </row>
    <row r="822" ht="15.75" customHeight="1">
      <c r="B822" s="12"/>
      <c r="C822" s="12"/>
      <c r="D822" s="12"/>
      <c r="E822" s="12"/>
      <c r="I822" s="14"/>
      <c r="J822" s="14"/>
      <c r="K822" s="15"/>
      <c r="P822" s="15"/>
      <c r="R822" s="16"/>
    </row>
    <row r="823" ht="15.75" customHeight="1">
      <c r="B823" s="12"/>
      <c r="C823" s="12"/>
      <c r="D823" s="12"/>
      <c r="E823" s="12"/>
      <c r="I823" s="14"/>
      <c r="J823" s="14"/>
      <c r="K823" s="15"/>
      <c r="P823" s="15"/>
      <c r="R823" s="16"/>
    </row>
    <row r="824" ht="15.75" customHeight="1">
      <c r="B824" s="12"/>
      <c r="C824" s="12"/>
      <c r="D824" s="12"/>
      <c r="E824" s="12"/>
      <c r="I824" s="14"/>
      <c r="J824" s="14"/>
      <c r="K824" s="15"/>
      <c r="P824" s="15"/>
      <c r="R824" s="16"/>
    </row>
    <row r="825" ht="15.75" customHeight="1">
      <c r="B825" s="12"/>
      <c r="C825" s="12"/>
      <c r="D825" s="12"/>
      <c r="E825" s="12"/>
      <c r="I825" s="14"/>
      <c r="J825" s="14"/>
      <c r="K825" s="15"/>
      <c r="P825" s="15"/>
      <c r="R825" s="16"/>
    </row>
    <row r="826" ht="15.75" customHeight="1">
      <c r="B826" s="12"/>
      <c r="C826" s="12"/>
      <c r="D826" s="12"/>
      <c r="E826" s="12"/>
      <c r="I826" s="14"/>
      <c r="J826" s="14"/>
      <c r="K826" s="15"/>
      <c r="P826" s="15"/>
      <c r="R826" s="16"/>
    </row>
    <row r="827" ht="15.75" customHeight="1">
      <c r="B827" s="12"/>
      <c r="C827" s="12"/>
      <c r="D827" s="12"/>
      <c r="E827" s="12"/>
      <c r="I827" s="14"/>
      <c r="J827" s="14"/>
      <c r="K827" s="15"/>
      <c r="P827" s="15"/>
      <c r="R827" s="16"/>
    </row>
    <row r="828" ht="15.75" customHeight="1">
      <c r="B828" s="12"/>
      <c r="C828" s="12"/>
      <c r="D828" s="12"/>
      <c r="E828" s="12"/>
      <c r="I828" s="14"/>
      <c r="J828" s="14"/>
      <c r="K828" s="15"/>
      <c r="P828" s="15"/>
      <c r="R828" s="16"/>
    </row>
    <row r="829" ht="15.75" customHeight="1">
      <c r="B829" s="12"/>
      <c r="C829" s="12"/>
      <c r="D829" s="12"/>
      <c r="E829" s="12"/>
      <c r="I829" s="14"/>
      <c r="J829" s="14"/>
      <c r="K829" s="15"/>
      <c r="P829" s="15"/>
      <c r="R829" s="16"/>
    </row>
    <row r="830" ht="15.75" customHeight="1">
      <c r="B830" s="12"/>
      <c r="C830" s="12"/>
      <c r="D830" s="12"/>
      <c r="E830" s="12"/>
      <c r="I830" s="14"/>
      <c r="J830" s="14"/>
      <c r="K830" s="15"/>
      <c r="P830" s="15"/>
      <c r="R830" s="16"/>
    </row>
    <row r="831" ht="15.75" customHeight="1">
      <c r="B831" s="12"/>
      <c r="C831" s="12"/>
      <c r="D831" s="12"/>
      <c r="E831" s="12"/>
      <c r="I831" s="14"/>
      <c r="J831" s="14"/>
      <c r="K831" s="15"/>
      <c r="P831" s="15"/>
      <c r="R831" s="16"/>
    </row>
    <row r="832" ht="15.75" customHeight="1">
      <c r="B832" s="12"/>
      <c r="C832" s="12"/>
      <c r="D832" s="12"/>
      <c r="E832" s="12"/>
      <c r="I832" s="14"/>
      <c r="J832" s="14"/>
      <c r="K832" s="15"/>
      <c r="P832" s="15"/>
      <c r="R832" s="16"/>
    </row>
    <row r="833" ht="15.75" customHeight="1">
      <c r="B833" s="12"/>
      <c r="C833" s="12"/>
      <c r="D833" s="12"/>
      <c r="E833" s="12"/>
      <c r="I833" s="14"/>
      <c r="J833" s="14"/>
      <c r="K833" s="15"/>
      <c r="P833" s="15"/>
      <c r="R833" s="16"/>
    </row>
    <row r="834" ht="15.75" customHeight="1">
      <c r="B834" s="12"/>
      <c r="C834" s="12"/>
      <c r="D834" s="12"/>
      <c r="E834" s="12"/>
      <c r="I834" s="14"/>
      <c r="J834" s="14"/>
      <c r="K834" s="15"/>
      <c r="P834" s="15"/>
      <c r="R834" s="16"/>
    </row>
    <row r="835" ht="15.75" customHeight="1">
      <c r="B835" s="12"/>
      <c r="C835" s="12"/>
      <c r="D835" s="12"/>
      <c r="E835" s="12"/>
      <c r="I835" s="14"/>
      <c r="J835" s="14"/>
      <c r="K835" s="15"/>
      <c r="P835" s="15"/>
      <c r="R835" s="16"/>
    </row>
    <row r="836" ht="15.75" customHeight="1">
      <c r="B836" s="12"/>
      <c r="C836" s="12"/>
      <c r="D836" s="12"/>
      <c r="E836" s="12"/>
      <c r="I836" s="14"/>
      <c r="J836" s="14"/>
      <c r="K836" s="15"/>
      <c r="P836" s="15"/>
      <c r="R836" s="16"/>
    </row>
    <row r="837" ht="15.75" customHeight="1">
      <c r="B837" s="12"/>
      <c r="C837" s="12"/>
      <c r="D837" s="12"/>
      <c r="E837" s="12"/>
      <c r="I837" s="14"/>
      <c r="J837" s="14"/>
      <c r="K837" s="15"/>
      <c r="P837" s="15"/>
      <c r="R837" s="16"/>
    </row>
    <row r="838" ht="15.75" customHeight="1">
      <c r="B838" s="12"/>
      <c r="C838" s="12"/>
      <c r="D838" s="12"/>
      <c r="E838" s="12"/>
      <c r="I838" s="14"/>
      <c r="J838" s="14"/>
      <c r="K838" s="15"/>
      <c r="P838" s="15"/>
      <c r="R838" s="16"/>
    </row>
    <row r="839" ht="15.75" customHeight="1">
      <c r="B839" s="12"/>
      <c r="C839" s="12"/>
      <c r="D839" s="12"/>
      <c r="E839" s="12"/>
      <c r="I839" s="14"/>
      <c r="J839" s="14"/>
      <c r="K839" s="15"/>
      <c r="P839" s="15"/>
      <c r="R839" s="16"/>
    </row>
    <row r="840" ht="15.75" customHeight="1">
      <c r="B840" s="12"/>
      <c r="C840" s="12"/>
      <c r="D840" s="12"/>
      <c r="E840" s="12"/>
      <c r="I840" s="14"/>
      <c r="J840" s="14"/>
      <c r="K840" s="15"/>
      <c r="P840" s="15"/>
      <c r="R840" s="16"/>
    </row>
    <row r="841" ht="15.75" customHeight="1">
      <c r="B841" s="12"/>
      <c r="C841" s="12"/>
      <c r="D841" s="12"/>
      <c r="E841" s="12"/>
      <c r="I841" s="14"/>
      <c r="J841" s="14"/>
      <c r="K841" s="15"/>
      <c r="P841" s="15"/>
      <c r="R841" s="16"/>
    </row>
    <row r="842" ht="15.75" customHeight="1">
      <c r="B842" s="12"/>
      <c r="C842" s="12"/>
      <c r="D842" s="12"/>
      <c r="E842" s="12"/>
      <c r="I842" s="14"/>
      <c r="J842" s="14"/>
      <c r="K842" s="15"/>
      <c r="P842" s="15"/>
      <c r="R842" s="16"/>
    </row>
    <row r="843" ht="15.75" customHeight="1">
      <c r="B843" s="12"/>
      <c r="C843" s="12"/>
      <c r="D843" s="12"/>
      <c r="E843" s="12"/>
      <c r="I843" s="14"/>
      <c r="J843" s="14"/>
      <c r="K843" s="15"/>
      <c r="P843" s="15"/>
      <c r="R843" s="16"/>
    </row>
    <row r="844" ht="15.75" customHeight="1">
      <c r="B844" s="12"/>
      <c r="C844" s="12"/>
      <c r="D844" s="12"/>
      <c r="E844" s="12"/>
      <c r="I844" s="14"/>
      <c r="J844" s="14"/>
      <c r="K844" s="15"/>
      <c r="P844" s="15"/>
      <c r="R844" s="16"/>
    </row>
    <row r="845" ht="15.75" customHeight="1">
      <c r="B845" s="12"/>
      <c r="C845" s="12"/>
      <c r="D845" s="12"/>
      <c r="E845" s="12"/>
      <c r="I845" s="14"/>
      <c r="J845" s="14"/>
      <c r="K845" s="15"/>
      <c r="P845" s="15"/>
      <c r="R845" s="16"/>
    </row>
    <row r="846" ht="15.75" customHeight="1">
      <c r="B846" s="12"/>
      <c r="C846" s="12"/>
      <c r="D846" s="12"/>
      <c r="E846" s="12"/>
      <c r="I846" s="14"/>
      <c r="J846" s="14"/>
      <c r="K846" s="15"/>
      <c r="P846" s="15"/>
      <c r="R846" s="16"/>
    </row>
    <row r="847" ht="15.75" customHeight="1">
      <c r="B847" s="12"/>
      <c r="C847" s="12"/>
      <c r="D847" s="12"/>
      <c r="E847" s="12"/>
      <c r="I847" s="14"/>
      <c r="J847" s="14"/>
      <c r="K847" s="15"/>
      <c r="P847" s="15"/>
      <c r="R847" s="16"/>
    </row>
    <row r="848" ht="15.75" customHeight="1">
      <c r="B848" s="12"/>
      <c r="C848" s="12"/>
      <c r="D848" s="12"/>
      <c r="E848" s="12"/>
      <c r="I848" s="14"/>
      <c r="J848" s="14"/>
      <c r="K848" s="15"/>
      <c r="P848" s="15"/>
      <c r="R848" s="16"/>
    </row>
    <row r="849" ht="15.75" customHeight="1">
      <c r="B849" s="12"/>
      <c r="C849" s="12"/>
      <c r="D849" s="12"/>
      <c r="E849" s="12"/>
      <c r="I849" s="14"/>
      <c r="J849" s="14"/>
      <c r="K849" s="15"/>
      <c r="P849" s="15"/>
      <c r="R849" s="16"/>
    </row>
    <row r="850" ht="15.75" customHeight="1">
      <c r="B850" s="12"/>
      <c r="C850" s="12"/>
      <c r="D850" s="12"/>
      <c r="E850" s="12"/>
      <c r="I850" s="14"/>
      <c r="J850" s="14"/>
      <c r="K850" s="15"/>
      <c r="P850" s="15"/>
      <c r="R850" s="16"/>
    </row>
    <row r="851" ht="15.75" customHeight="1">
      <c r="B851" s="12"/>
      <c r="C851" s="12"/>
      <c r="D851" s="12"/>
      <c r="E851" s="12"/>
      <c r="I851" s="14"/>
      <c r="J851" s="14"/>
      <c r="K851" s="15"/>
      <c r="P851" s="15"/>
      <c r="R851" s="16"/>
    </row>
    <row r="852" ht="15.75" customHeight="1">
      <c r="B852" s="12"/>
      <c r="C852" s="12"/>
      <c r="D852" s="12"/>
      <c r="E852" s="12"/>
      <c r="I852" s="14"/>
      <c r="J852" s="14"/>
      <c r="K852" s="15"/>
      <c r="P852" s="15"/>
      <c r="R852" s="16"/>
    </row>
    <row r="853" ht="15.75" customHeight="1">
      <c r="B853" s="12"/>
      <c r="C853" s="12"/>
      <c r="D853" s="12"/>
      <c r="E853" s="12"/>
      <c r="I853" s="14"/>
      <c r="J853" s="14"/>
      <c r="K853" s="15"/>
      <c r="P853" s="15"/>
      <c r="R853" s="16"/>
    </row>
    <row r="854" ht="15.75" customHeight="1">
      <c r="B854" s="12"/>
      <c r="C854" s="12"/>
      <c r="D854" s="12"/>
      <c r="E854" s="12"/>
      <c r="I854" s="14"/>
      <c r="J854" s="14"/>
      <c r="K854" s="15"/>
      <c r="P854" s="15"/>
      <c r="R854" s="16"/>
    </row>
    <row r="855" ht="15.75" customHeight="1">
      <c r="B855" s="12"/>
      <c r="C855" s="12"/>
      <c r="D855" s="12"/>
      <c r="E855" s="12"/>
      <c r="I855" s="14"/>
      <c r="J855" s="14"/>
      <c r="K855" s="15"/>
      <c r="P855" s="15"/>
      <c r="R855" s="16"/>
    </row>
    <row r="856" ht="15.75" customHeight="1">
      <c r="B856" s="12"/>
      <c r="C856" s="12"/>
      <c r="D856" s="12"/>
      <c r="E856" s="12"/>
      <c r="I856" s="14"/>
      <c r="J856" s="14"/>
      <c r="K856" s="15"/>
      <c r="P856" s="15"/>
      <c r="R856" s="16"/>
    </row>
    <row r="857" ht="15.75" customHeight="1">
      <c r="B857" s="12"/>
      <c r="C857" s="12"/>
      <c r="D857" s="12"/>
      <c r="E857" s="12"/>
      <c r="I857" s="14"/>
      <c r="J857" s="14"/>
      <c r="K857" s="15"/>
      <c r="P857" s="15"/>
      <c r="R857" s="16"/>
    </row>
    <row r="858" ht="15.75" customHeight="1">
      <c r="B858" s="12"/>
      <c r="C858" s="12"/>
      <c r="D858" s="12"/>
      <c r="E858" s="12"/>
      <c r="I858" s="14"/>
      <c r="J858" s="14"/>
      <c r="K858" s="15"/>
      <c r="P858" s="15"/>
      <c r="R858" s="16"/>
    </row>
    <row r="859" ht="15.75" customHeight="1">
      <c r="B859" s="12"/>
      <c r="C859" s="12"/>
      <c r="D859" s="12"/>
      <c r="E859" s="12"/>
      <c r="I859" s="14"/>
      <c r="J859" s="14"/>
      <c r="K859" s="15"/>
      <c r="P859" s="15"/>
      <c r="R859" s="16"/>
    </row>
    <row r="860" ht="15.75" customHeight="1">
      <c r="B860" s="12"/>
      <c r="C860" s="12"/>
      <c r="D860" s="12"/>
      <c r="E860" s="12"/>
      <c r="I860" s="14"/>
      <c r="J860" s="14"/>
      <c r="K860" s="15"/>
      <c r="P860" s="15"/>
      <c r="R860" s="16"/>
    </row>
    <row r="861" ht="15.75" customHeight="1">
      <c r="B861" s="12"/>
      <c r="C861" s="12"/>
      <c r="D861" s="12"/>
      <c r="E861" s="12"/>
      <c r="I861" s="14"/>
      <c r="J861" s="14"/>
      <c r="K861" s="15"/>
      <c r="P861" s="15"/>
      <c r="R861" s="16"/>
    </row>
    <row r="862" ht="15.75" customHeight="1">
      <c r="B862" s="12"/>
      <c r="C862" s="12"/>
      <c r="D862" s="12"/>
      <c r="E862" s="12"/>
      <c r="I862" s="14"/>
      <c r="J862" s="14"/>
      <c r="K862" s="15"/>
      <c r="P862" s="15"/>
      <c r="R862" s="16"/>
    </row>
    <row r="863" ht="15.75" customHeight="1">
      <c r="B863" s="12"/>
      <c r="C863" s="12"/>
      <c r="D863" s="12"/>
      <c r="E863" s="12"/>
      <c r="I863" s="14"/>
      <c r="J863" s="14"/>
      <c r="K863" s="15"/>
      <c r="P863" s="15"/>
      <c r="R863" s="16"/>
    </row>
    <row r="864" ht="15.75" customHeight="1">
      <c r="B864" s="12"/>
      <c r="C864" s="12"/>
      <c r="D864" s="12"/>
      <c r="E864" s="12"/>
      <c r="I864" s="14"/>
      <c r="J864" s="14"/>
      <c r="K864" s="15"/>
      <c r="P864" s="15"/>
      <c r="R864" s="16"/>
    </row>
    <row r="865" ht="15.75" customHeight="1">
      <c r="B865" s="12"/>
      <c r="C865" s="12"/>
      <c r="D865" s="12"/>
      <c r="E865" s="12"/>
      <c r="I865" s="14"/>
      <c r="J865" s="14"/>
      <c r="K865" s="15"/>
      <c r="P865" s="15"/>
      <c r="R865" s="16"/>
    </row>
    <row r="866" ht="15.75" customHeight="1">
      <c r="B866" s="12"/>
      <c r="C866" s="12"/>
      <c r="D866" s="12"/>
      <c r="E866" s="12"/>
      <c r="I866" s="14"/>
      <c r="J866" s="14"/>
      <c r="K866" s="15"/>
      <c r="P866" s="15"/>
      <c r="R866" s="16"/>
    </row>
    <row r="867" ht="15.75" customHeight="1">
      <c r="B867" s="12"/>
      <c r="C867" s="12"/>
      <c r="D867" s="12"/>
      <c r="E867" s="12"/>
      <c r="I867" s="14"/>
      <c r="J867" s="14"/>
      <c r="K867" s="15"/>
      <c r="P867" s="15"/>
      <c r="R867" s="16"/>
    </row>
    <row r="868" ht="15.75" customHeight="1">
      <c r="B868" s="12"/>
      <c r="C868" s="12"/>
      <c r="D868" s="12"/>
      <c r="E868" s="12"/>
      <c r="I868" s="14"/>
      <c r="J868" s="14"/>
      <c r="K868" s="15"/>
      <c r="P868" s="15"/>
      <c r="R868" s="16"/>
    </row>
    <row r="869" ht="15.75" customHeight="1">
      <c r="B869" s="12"/>
      <c r="C869" s="12"/>
      <c r="D869" s="12"/>
      <c r="E869" s="12"/>
      <c r="I869" s="14"/>
      <c r="J869" s="14"/>
      <c r="K869" s="15"/>
      <c r="P869" s="15"/>
      <c r="R869" s="16"/>
    </row>
    <row r="870" ht="15.75" customHeight="1">
      <c r="B870" s="12"/>
      <c r="C870" s="12"/>
      <c r="D870" s="12"/>
      <c r="E870" s="12"/>
      <c r="I870" s="14"/>
      <c r="J870" s="14"/>
      <c r="K870" s="15"/>
      <c r="P870" s="15"/>
      <c r="R870" s="16"/>
    </row>
    <row r="871" ht="15.75" customHeight="1">
      <c r="B871" s="12"/>
      <c r="C871" s="12"/>
      <c r="D871" s="12"/>
      <c r="E871" s="12"/>
      <c r="I871" s="14"/>
      <c r="J871" s="14"/>
      <c r="K871" s="15"/>
      <c r="P871" s="15"/>
      <c r="R871" s="16"/>
    </row>
    <row r="872" ht="15.75" customHeight="1">
      <c r="B872" s="12"/>
      <c r="C872" s="12"/>
      <c r="D872" s="12"/>
      <c r="E872" s="12"/>
      <c r="I872" s="14"/>
      <c r="J872" s="14"/>
      <c r="K872" s="15"/>
      <c r="P872" s="15"/>
      <c r="R872" s="16"/>
    </row>
    <row r="873" ht="15.75" customHeight="1">
      <c r="B873" s="12"/>
      <c r="C873" s="12"/>
      <c r="D873" s="12"/>
      <c r="E873" s="12"/>
      <c r="I873" s="14"/>
      <c r="J873" s="14"/>
      <c r="K873" s="15"/>
      <c r="P873" s="15"/>
      <c r="R873" s="16"/>
    </row>
    <row r="874" ht="15.75" customHeight="1">
      <c r="B874" s="12"/>
      <c r="C874" s="12"/>
      <c r="D874" s="12"/>
      <c r="E874" s="12"/>
      <c r="I874" s="14"/>
      <c r="J874" s="14"/>
      <c r="K874" s="15"/>
      <c r="P874" s="15"/>
      <c r="R874" s="16"/>
    </row>
    <row r="875" ht="15.75" customHeight="1">
      <c r="B875" s="12"/>
      <c r="C875" s="12"/>
      <c r="D875" s="12"/>
      <c r="E875" s="12"/>
      <c r="I875" s="14"/>
      <c r="J875" s="14"/>
      <c r="K875" s="15"/>
      <c r="P875" s="15"/>
      <c r="R875" s="16"/>
    </row>
    <row r="876" ht="15.75" customHeight="1">
      <c r="B876" s="12"/>
      <c r="C876" s="12"/>
      <c r="D876" s="12"/>
      <c r="E876" s="12"/>
      <c r="I876" s="14"/>
      <c r="J876" s="14"/>
      <c r="K876" s="15"/>
      <c r="P876" s="15"/>
      <c r="R876" s="16"/>
    </row>
    <row r="877" ht="15.75" customHeight="1">
      <c r="B877" s="12"/>
      <c r="C877" s="12"/>
      <c r="D877" s="12"/>
      <c r="E877" s="12"/>
      <c r="I877" s="14"/>
      <c r="J877" s="14"/>
      <c r="K877" s="15"/>
      <c r="P877" s="15"/>
      <c r="R877" s="16"/>
    </row>
    <row r="878" ht="15.75" customHeight="1">
      <c r="B878" s="12"/>
      <c r="C878" s="12"/>
      <c r="D878" s="12"/>
      <c r="E878" s="12"/>
      <c r="I878" s="14"/>
      <c r="J878" s="14"/>
      <c r="K878" s="15"/>
      <c r="P878" s="15"/>
      <c r="R878" s="16"/>
    </row>
    <row r="879" ht="15.75" customHeight="1">
      <c r="B879" s="12"/>
      <c r="C879" s="12"/>
      <c r="D879" s="12"/>
      <c r="E879" s="12"/>
      <c r="I879" s="14"/>
      <c r="J879" s="14"/>
      <c r="K879" s="15"/>
      <c r="P879" s="15"/>
      <c r="R879" s="16"/>
    </row>
    <row r="880" ht="15.75" customHeight="1">
      <c r="B880" s="12"/>
      <c r="C880" s="12"/>
      <c r="D880" s="12"/>
      <c r="E880" s="12"/>
      <c r="I880" s="14"/>
      <c r="J880" s="14"/>
      <c r="K880" s="15"/>
      <c r="P880" s="15"/>
      <c r="R880" s="16"/>
    </row>
    <row r="881" ht="15.75" customHeight="1">
      <c r="B881" s="12"/>
      <c r="C881" s="12"/>
      <c r="D881" s="12"/>
      <c r="E881" s="12"/>
      <c r="I881" s="14"/>
      <c r="J881" s="14"/>
      <c r="K881" s="15"/>
      <c r="P881" s="15"/>
      <c r="R881" s="16"/>
    </row>
    <row r="882" ht="15.75" customHeight="1">
      <c r="B882" s="12"/>
      <c r="C882" s="12"/>
      <c r="D882" s="12"/>
      <c r="E882" s="12"/>
      <c r="I882" s="14"/>
      <c r="J882" s="14"/>
      <c r="K882" s="15"/>
      <c r="P882" s="15"/>
      <c r="R882" s="16"/>
    </row>
    <row r="883" ht="15.75" customHeight="1">
      <c r="B883" s="12"/>
      <c r="C883" s="12"/>
      <c r="D883" s="12"/>
      <c r="E883" s="12"/>
      <c r="I883" s="14"/>
      <c r="J883" s="14"/>
      <c r="K883" s="15"/>
      <c r="P883" s="15"/>
      <c r="R883" s="16"/>
    </row>
    <row r="884" ht="15.75" customHeight="1">
      <c r="B884" s="12"/>
      <c r="C884" s="12"/>
      <c r="D884" s="12"/>
      <c r="E884" s="12"/>
      <c r="I884" s="14"/>
      <c r="J884" s="14"/>
      <c r="K884" s="15"/>
      <c r="P884" s="15"/>
      <c r="R884" s="16"/>
    </row>
    <row r="885" ht="15.75" customHeight="1">
      <c r="B885" s="12"/>
      <c r="C885" s="12"/>
      <c r="D885" s="12"/>
      <c r="E885" s="12"/>
      <c r="I885" s="14"/>
      <c r="J885" s="14"/>
      <c r="K885" s="15"/>
      <c r="P885" s="15"/>
      <c r="R885" s="16"/>
    </row>
    <row r="886" ht="15.75" customHeight="1">
      <c r="B886" s="12"/>
      <c r="C886" s="12"/>
      <c r="D886" s="12"/>
      <c r="E886" s="12"/>
      <c r="I886" s="14"/>
      <c r="J886" s="14"/>
      <c r="K886" s="15"/>
      <c r="P886" s="15"/>
      <c r="R886" s="16"/>
    </row>
    <row r="887" ht="15.75" customHeight="1">
      <c r="B887" s="12"/>
      <c r="C887" s="12"/>
      <c r="D887" s="12"/>
      <c r="E887" s="12"/>
      <c r="I887" s="14"/>
      <c r="J887" s="14"/>
      <c r="K887" s="15"/>
      <c r="P887" s="15"/>
      <c r="R887" s="16"/>
    </row>
    <row r="888" ht="15.75" customHeight="1">
      <c r="B888" s="12"/>
      <c r="C888" s="12"/>
      <c r="D888" s="12"/>
      <c r="E888" s="12"/>
      <c r="I888" s="14"/>
      <c r="J888" s="14"/>
      <c r="K888" s="15"/>
      <c r="P888" s="15"/>
      <c r="R888" s="16"/>
    </row>
    <row r="889" ht="15.75" customHeight="1">
      <c r="B889" s="12"/>
      <c r="C889" s="12"/>
      <c r="D889" s="12"/>
      <c r="E889" s="12"/>
      <c r="I889" s="14"/>
      <c r="J889" s="14"/>
      <c r="K889" s="15"/>
      <c r="P889" s="15"/>
      <c r="R889" s="16"/>
    </row>
    <row r="890" ht="15.75" customHeight="1">
      <c r="B890" s="12"/>
      <c r="C890" s="12"/>
      <c r="D890" s="12"/>
      <c r="E890" s="12"/>
      <c r="I890" s="14"/>
      <c r="J890" s="14"/>
      <c r="K890" s="15"/>
      <c r="P890" s="15"/>
      <c r="R890" s="16"/>
    </row>
    <row r="891" ht="15.75" customHeight="1">
      <c r="B891" s="12"/>
      <c r="C891" s="12"/>
      <c r="D891" s="12"/>
      <c r="E891" s="12"/>
      <c r="I891" s="14"/>
      <c r="J891" s="14"/>
      <c r="K891" s="15"/>
      <c r="P891" s="15"/>
      <c r="R891" s="16"/>
    </row>
    <row r="892" ht="15.75" customHeight="1">
      <c r="B892" s="12"/>
      <c r="C892" s="12"/>
      <c r="D892" s="12"/>
      <c r="E892" s="12"/>
      <c r="I892" s="14"/>
      <c r="J892" s="14"/>
      <c r="K892" s="15"/>
      <c r="P892" s="15"/>
      <c r="R892" s="16"/>
    </row>
    <row r="893" ht="15.75" customHeight="1">
      <c r="B893" s="12"/>
      <c r="C893" s="12"/>
      <c r="D893" s="12"/>
      <c r="E893" s="12"/>
      <c r="I893" s="14"/>
      <c r="J893" s="14"/>
      <c r="K893" s="15"/>
      <c r="P893" s="15"/>
      <c r="R893" s="16"/>
    </row>
    <row r="894" ht="15.75" customHeight="1">
      <c r="B894" s="12"/>
      <c r="C894" s="12"/>
      <c r="D894" s="12"/>
      <c r="E894" s="12"/>
      <c r="I894" s="14"/>
      <c r="J894" s="14"/>
      <c r="K894" s="15"/>
      <c r="P894" s="15"/>
      <c r="R894" s="16"/>
    </row>
    <row r="895" ht="15.75" customHeight="1">
      <c r="B895" s="12"/>
      <c r="C895" s="12"/>
      <c r="D895" s="12"/>
      <c r="E895" s="12"/>
      <c r="I895" s="14"/>
      <c r="J895" s="14"/>
      <c r="K895" s="15"/>
      <c r="P895" s="15"/>
      <c r="R895" s="16"/>
    </row>
    <row r="896" ht="15.75" customHeight="1">
      <c r="B896" s="12"/>
      <c r="C896" s="12"/>
      <c r="D896" s="12"/>
      <c r="E896" s="12"/>
      <c r="I896" s="14"/>
      <c r="J896" s="14"/>
      <c r="K896" s="15"/>
      <c r="P896" s="15"/>
      <c r="R896" s="16"/>
    </row>
    <row r="897" ht="15.75" customHeight="1">
      <c r="B897" s="12"/>
      <c r="C897" s="12"/>
      <c r="D897" s="12"/>
      <c r="E897" s="12"/>
      <c r="I897" s="14"/>
      <c r="J897" s="14"/>
      <c r="K897" s="15"/>
      <c r="P897" s="15"/>
      <c r="R897" s="16"/>
    </row>
    <row r="898" ht="15.75" customHeight="1">
      <c r="B898" s="12"/>
      <c r="C898" s="12"/>
      <c r="D898" s="12"/>
      <c r="E898" s="12"/>
      <c r="I898" s="14"/>
      <c r="J898" s="14"/>
      <c r="K898" s="15"/>
      <c r="P898" s="15"/>
      <c r="R898" s="16"/>
    </row>
    <row r="899" ht="15.75" customHeight="1">
      <c r="B899" s="12"/>
      <c r="C899" s="12"/>
      <c r="D899" s="12"/>
      <c r="E899" s="12"/>
      <c r="I899" s="14"/>
      <c r="J899" s="14"/>
      <c r="K899" s="15"/>
      <c r="P899" s="15"/>
      <c r="R899" s="16"/>
    </row>
    <row r="900" ht="15.75" customHeight="1">
      <c r="B900" s="12"/>
      <c r="C900" s="12"/>
      <c r="D900" s="12"/>
      <c r="E900" s="12"/>
      <c r="I900" s="14"/>
      <c r="J900" s="14"/>
      <c r="K900" s="15"/>
      <c r="P900" s="15"/>
      <c r="R900" s="16"/>
    </row>
    <row r="901" ht="15.75" customHeight="1">
      <c r="B901" s="12"/>
      <c r="C901" s="12"/>
      <c r="D901" s="12"/>
      <c r="E901" s="12"/>
      <c r="I901" s="14"/>
      <c r="J901" s="14"/>
      <c r="K901" s="15"/>
      <c r="P901" s="15"/>
      <c r="R901" s="16"/>
    </row>
    <row r="902" ht="15.75" customHeight="1">
      <c r="B902" s="12"/>
      <c r="C902" s="12"/>
      <c r="D902" s="12"/>
      <c r="E902" s="12"/>
      <c r="I902" s="14"/>
      <c r="J902" s="14"/>
      <c r="K902" s="15"/>
      <c r="P902" s="15"/>
      <c r="R902" s="16"/>
    </row>
    <row r="903" ht="15.75" customHeight="1">
      <c r="B903" s="12"/>
      <c r="C903" s="12"/>
      <c r="D903" s="12"/>
      <c r="E903" s="12"/>
      <c r="I903" s="14"/>
      <c r="J903" s="14"/>
      <c r="K903" s="15"/>
      <c r="P903" s="15"/>
      <c r="R903" s="16"/>
    </row>
    <row r="904" ht="15.75" customHeight="1">
      <c r="B904" s="12"/>
      <c r="C904" s="12"/>
      <c r="D904" s="12"/>
      <c r="E904" s="12"/>
      <c r="I904" s="14"/>
      <c r="J904" s="14"/>
      <c r="K904" s="15"/>
      <c r="P904" s="15"/>
      <c r="R904" s="16"/>
    </row>
    <row r="905" ht="15.75" customHeight="1">
      <c r="B905" s="12"/>
      <c r="C905" s="12"/>
      <c r="D905" s="12"/>
      <c r="E905" s="12"/>
      <c r="I905" s="14"/>
      <c r="J905" s="14"/>
      <c r="K905" s="15"/>
      <c r="P905" s="15"/>
      <c r="R905" s="16"/>
    </row>
    <row r="906" ht="15.75" customHeight="1">
      <c r="B906" s="12"/>
      <c r="C906" s="12"/>
      <c r="D906" s="12"/>
      <c r="E906" s="12"/>
      <c r="I906" s="14"/>
      <c r="J906" s="14"/>
      <c r="K906" s="15"/>
      <c r="P906" s="15"/>
      <c r="R906" s="16"/>
    </row>
    <row r="907" ht="15.75" customHeight="1">
      <c r="B907" s="12"/>
      <c r="C907" s="12"/>
      <c r="D907" s="12"/>
      <c r="E907" s="12"/>
      <c r="I907" s="14"/>
      <c r="J907" s="14"/>
      <c r="K907" s="15"/>
      <c r="P907" s="15"/>
      <c r="R907" s="16"/>
    </row>
    <row r="908" ht="15.75" customHeight="1">
      <c r="B908" s="12"/>
      <c r="C908" s="12"/>
      <c r="D908" s="12"/>
      <c r="E908" s="12"/>
      <c r="I908" s="14"/>
      <c r="J908" s="14"/>
      <c r="K908" s="15"/>
      <c r="P908" s="15"/>
      <c r="R908" s="16"/>
    </row>
    <row r="909" ht="15.75" customHeight="1">
      <c r="B909" s="12"/>
      <c r="C909" s="12"/>
      <c r="D909" s="12"/>
      <c r="E909" s="12"/>
      <c r="I909" s="14"/>
      <c r="J909" s="14"/>
      <c r="K909" s="15"/>
      <c r="P909" s="15"/>
      <c r="R909" s="16"/>
    </row>
    <row r="910" ht="15.75" customHeight="1">
      <c r="B910" s="12"/>
      <c r="C910" s="12"/>
      <c r="D910" s="12"/>
      <c r="E910" s="12"/>
      <c r="I910" s="14"/>
      <c r="J910" s="14"/>
      <c r="K910" s="15"/>
      <c r="P910" s="15"/>
      <c r="R910" s="16"/>
    </row>
    <row r="911" ht="15.75" customHeight="1">
      <c r="B911" s="12"/>
      <c r="C911" s="12"/>
      <c r="D911" s="12"/>
      <c r="E911" s="12"/>
      <c r="I911" s="14"/>
      <c r="J911" s="14"/>
      <c r="K911" s="15"/>
      <c r="P911" s="15"/>
      <c r="R911" s="16"/>
    </row>
    <row r="912" ht="15.75" customHeight="1">
      <c r="B912" s="12"/>
      <c r="C912" s="12"/>
      <c r="D912" s="12"/>
      <c r="E912" s="12"/>
      <c r="I912" s="14"/>
      <c r="J912" s="14"/>
      <c r="K912" s="15"/>
      <c r="P912" s="15"/>
      <c r="R912" s="16"/>
    </row>
    <row r="913" ht="15.75" customHeight="1">
      <c r="B913" s="12"/>
      <c r="C913" s="12"/>
      <c r="D913" s="12"/>
      <c r="E913" s="12"/>
      <c r="I913" s="14"/>
      <c r="J913" s="14"/>
      <c r="K913" s="15"/>
      <c r="P913" s="15"/>
      <c r="R913" s="16"/>
    </row>
    <row r="914" ht="15.75" customHeight="1">
      <c r="B914" s="12"/>
      <c r="C914" s="12"/>
      <c r="D914" s="12"/>
      <c r="E914" s="12"/>
      <c r="I914" s="14"/>
      <c r="J914" s="14"/>
      <c r="K914" s="15"/>
      <c r="P914" s="15"/>
      <c r="R914" s="16"/>
    </row>
    <row r="915" ht="15.75" customHeight="1">
      <c r="B915" s="12"/>
      <c r="C915" s="12"/>
      <c r="D915" s="12"/>
      <c r="E915" s="12"/>
      <c r="I915" s="14"/>
      <c r="J915" s="14"/>
      <c r="K915" s="15"/>
      <c r="P915" s="15"/>
      <c r="R915" s="16"/>
    </row>
    <row r="916" ht="15.75" customHeight="1">
      <c r="B916" s="12"/>
      <c r="C916" s="12"/>
      <c r="D916" s="12"/>
      <c r="E916" s="12"/>
      <c r="I916" s="14"/>
      <c r="J916" s="14"/>
      <c r="K916" s="15"/>
      <c r="P916" s="15"/>
      <c r="R916" s="16"/>
    </row>
    <row r="917" ht="15.75" customHeight="1">
      <c r="B917" s="12"/>
      <c r="C917" s="12"/>
      <c r="D917" s="12"/>
      <c r="E917" s="12"/>
      <c r="I917" s="14"/>
      <c r="J917" s="14"/>
      <c r="K917" s="15"/>
      <c r="P917" s="15"/>
      <c r="R917" s="16"/>
    </row>
    <row r="918" ht="15.75" customHeight="1">
      <c r="B918" s="12"/>
      <c r="C918" s="12"/>
      <c r="D918" s="12"/>
      <c r="E918" s="12"/>
      <c r="I918" s="14"/>
      <c r="J918" s="14"/>
      <c r="K918" s="15"/>
      <c r="P918" s="15"/>
      <c r="R918" s="16"/>
    </row>
    <row r="919" ht="15.75" customHeight="1">
      <c r="B919" s="12"/>
      <c r="C919" s="12"/>
      <c r="D919" s="12"/>
      <c r="E919" s="12"/>
      <c r="I919" s="14"/>
      <c r="J919" s="14"/>
      <c r="K919" s="15"/>
      <c r="P919" s="15"/>
      <c r="R919" s="16"/>
    </row>
    <row r="920" ht="15.75" customHeight="1">
      <c r="B920" s="12"/>
      <c r="C920" s="12"/>
      <c r="D920" s="12"/>
      <c r="E920" s="12"/>
      <c r="I920" s="14"/>
      <c r="J920" s="14"/>
      <c r="K920" s="15"/>
      <c r="P920" s="15"/>
      <c r="R920" s="16"/>
    </row>
    <row r="921" ht="15.75" customHeight="1">
      <c r="B921" s="12"/>
      <c r="C921" s="12"/>
      <c r="D921" s="12"/>
      <c r="E921" s="12"/>
      <c r="I921" s="14"/>
      <c r="J921" s="14"/>
      <c r="K921" s="15"/>
      <c r="P921" s="15"/>
      <c r="R921" s="16"/>
    </row>
    <row r="922" ht="15.75" customHeight="1">
      <c r="B922" s="12"/>
      <c r="C922" s="12"/>
      <c r="D922" s="12"/>
      <c r="E922" s="12"/>
      <c r="I922" s="14"/>
      <c r="J922" s="14"/>
      <c r="K922" s="15"/>
      <c r="P922" s="15"/>
      <c r="R922" s="16"/>
    </row>
    <row r="923" ht="15.75" customHeight="1">
      <c r="B923" s="12"/>
      <c r="C923" s="12"/>
      <c r="D923" s="12"/>
      <c r="E923" s="12"/>
      <c r="I923" s="14"/>
      <c r="J923" s="14"/>
      <c r="K923" s="15"/>
      <c r="P923" s="15"/>
      <c r="R923" s="16"/>
    </row>
    <row r="924" ht="15.75" customHeight="1">
      <c r="B924" s="12"/>
      <c r="C924" s="12"/>
      <c r="D924" s="12"/>
      <c r="E924" s="12"/>
      <c r="I924" s="14"/>
      <c r="J924" s="14"/>
      <c r="K924" s="15"/>
      <c r="P924" s="15"/>
      <c r="R924" s="16"/>
    </row>
    <row r="925" ht="15.75" customHeight="1">
      <c r="B925" s="12"/>
      <c r="C925" s="12"/>
      <c r="D925" s="12"/>
      <c r="E925" s="12"/>
      <c r="I925" s="14"/>
      <c r="J925" s="14"/>
      <c r="K925" s="15"/>
      <c r="P925" s="15"/>
      <c r="R925" s="16"/>
    </row>
    <row r="926" ht="15.75" customHeight="1">
      <c r="B926" s="12"/>
      <c r="C926" s="12"/>
      <c r="D926" s="12"/>
      <c r="E926" s="12"/>
      <c r="I926" s="14"/>
      <c r="J926" s="14"/>
      <c r="K926" s="15"/>
      <c r="P926" s="15"/>
      <c r="R926" s="16"/>
    </row>
    <row r="927" ht="15.75" customHeight="1">
      <c r="B927" s="12"/>
      <c r="C927" s="12"/>
      <c r="D927" s="12"/>
      <c r="E927" s="12"/>
      <c r="I927" s="14"/>
      <c r="J927" s="14"/>
      <c r="K927" s="15"/>
      <c r="P927" s="15"/>
      <c r="R927" s="16"/>
    </row>
    <row r="928" ht="15.75" customHeight="1">
      <c r="B928" s="12"/>
      <c r="C928" s="12"/>
      <c r="D928" s="12"/>
      <c r="E928" s="12"/>
      <c r="I928" s="14"/>
      <c r="J928" s="14"/>
      <c r="K928" s="15"/>
      <c r="P928" s="15"/>
      <c r="R928" s="16"/>
    </row>
    <row r="929" ht="15.75" customHeight="1">
      <c r="B929" s="12"/>
      <c r="C929" s="12"/>
      <c r="D929" s="12"/>
      <c r="E929" s="12"/>
      <c r="I929" s="14"/>
      <c r="J929" s="14"/>
      <c r="K929" s="15"/>
      <c r="P929" s="15"/>
      <c r="R929" s="16"/>
    </row>
    <row r="930" ht="15.75" customHeight="1">
      <c r="B930" s="12"/>
      <c r="C930" s="12"/>
      <c r="D930" s="12"/>
      <c r="E930" s="12"/>
      <c r="I930" s="14"/>
      <c r="J930" s="14"/>
      <c r="K930" s="15"/>
      <c r="P930" s="15"/>
      <c r="R930" s="16"/>
    </row>
    <row r="931" ht="15.75" customHeight="1">
      <c r="B931" s="12"/>
      <c r="C931" s="12"/>
      <c r="D931" s="12"/>
      <c r="E931" s="12"/>
      <c r="I931" s="14"/>
      <c r="J931" s="14"/>
      <c r="K931" s="15"/>
      <c r="P931" s="15"/>
      <c r="R931" s="16"/>
    </row>
    <row r="932" ht="15.75" customHeight="1">
      <c r="B932" s="12"/>
      <c r="C932" s="12"/>
      <c r="D932" s="12"/>
      <c r="E932" s="12"/>
      <c r="I932" s="14"/>
      <c r="J932" s="14"/>
      <c r="K932" s="15"/>
      <c r="P932" s="15"/>
      <c r="R932" s="16"/>
    </row>
    <row r="933" ht="15.75" customHeight="1">
      <c r="B933" s="12"/>
      <c r="C933" s="12"/>
      <c r="D933" s="12"/>
      <c r="E933" s="12"/>
      <c r="I933" s="14"/>
      <c r="J933" s="14"/>
      <c r="K933" s="15"/>
      <c r="P933" s="15"/>
      <c r="R933" s="16"/>
    </row>
    <row r="934" ht="15.75" customHeight="1">
      <c r="B934" s="12"/>
      <c r="C934" s="12"/>
      <c r="D934" s="12"/>
      <c r="E934" s="12"/>
      <c r="I934" s="14"/>
      <c r="J934" s="14"/>
      <c r="K934" s="15"/>
      <c r="P934" s="15"/>
      <c r="R934" s="16"/>
    </row>
    <row r="935" ht="15.75" customHeight="1">
      <c r="B935" s="12"/>
      <c r="C935" s="12"/>
      <c r="D935" s="12"/>
      <c r="E935" s="12"/>
      <c r="I935" s="14"/>
      <c r="J935" s="14"/>
      <c r="K935" s="15"/>
      <c r="P935" s="15"/>
      <c r="R935" s="16"/>
    </row>
    <row r="936" ht="15.75" customHeight="1">
      <c r="B936" s="12"/>
      <c r="C936" s="12"/>
      <c r="D936" s="12"/>
      <c r="E936" s="12"/>
      <c r="I936" s="14"/>
      <c r="J936" s="14"/>
      <c r="K936" s="15"/>
      <c r="P936" s="15"/>
      <c r="R936" s="16"/>
    </row>
    <row r="937" ht="15.75" customHeight="1">
      <c r="B937" s="12"/>
      <c r="C937" s="12"/>
      <c r="D937" s="12"/>
      <c r="E937" s="12"/>
      <c r="I937" s="14"/>
      <c r="J937" s="14"/>
      <c r="K937" s="15"/>
      <c r="P937" s="15"/>
      <c r="R937" s="16"/>
    </row>
    <row r="938" ht="15.75" customHeight="1">
      <c r="B938" s="12"/>
      <c r="C938" s="12"/>
      <c r="D938" s="12"/>
      <c r="E938" s="12"/>
      <c r="I938" s="14"/>
      <c r="J938" s="14"/>
      <c r="K938" s="15"/>
      <c r="P938" s="15"/>
      <c r="R938" s="16"/>
    </row>
    <row r="939" ht="15.75" customHeight="1">
      <c r="B939" s="12"/>
      <c r="C939" s="12"/>
      <c r="D939" s="12"/>
      <c r="E939" s="12"/>
      <c r="I939" s="14"/>
      <c r="J939" s="14"/>
      <c r="K939" s="15"/>
      <c r="P939" s="15"/>
      <c r="R939" s="16"/>
    </row>
    <row r="940" ht="15.75" customHeight="1">
      <c r="B940" s="12"/>
      <c r="C940" s="12"/>
      <c r="D940" s="12"/>
      <c r="E940" s="12"/>
      <c r="I940" s="14"/>
      <c r="J940" s="14"/>
      <c r="K940" s="15"/>
      <c r="P940" s="15"/>
      <c r="R940" s="16"/>
    </row>
    <row r="941" ht="15.75" customHeight="1">
      <c r="B941" s="12"/>
      <c r="C941" s="12"/>
      <c r="D941" s="12"/>
      <c r="E941" s="12"/>
      <c r="I941" s="14"/>
      <c r="J941" s="14"/>
      <c r="K941" s="15"/>
      <c r="P941" s="15"/>
      <c r="R941" s="16"/>
    </row>
    <row r="942" ht="15.75" customHeight="1">
      <c r="B942" s="12"/>
      <c r="C942" s="12"/>
      <c r="D942" s="12"/>
      <c r="E942" s="12"/>
      <c r="I942" s="14"/>
      <c r="J942" s="14"/>
      <c r="K942" s="15"/>
      <c r="P942" s="15"/>
      <c r="R942" s="16"/>
    </row>
    <row r="943" ht="15.75" customHeight="1">
      <c r="B943" s="12"/>
      <c r="C943" s="12"/>
      <c r="D943" s="12"/>
      <c r="E943" s="12"/>
      <c r="I943" s="14"/>
      <c r="J943" s="14"/>
      <c r="K943" s="15"/>
      <c r="P943" s="15"/>
      <c r="R943" s="16"/>
    </row>
    <row r="944" ht="15.75" customHeight="1">
      <c r="B944" s="12"/>
      <c r="C944" s="12"/>
      <c r="D944" s="12"/>
      <c r="E944" s="12"/>
      <c r="I944" s="14"/>
      <c r="J944" s="14"/>
      <c r="K944" s="15"/>
      <c r="P944" s="15"/>
      <c r="R944" s="16"/>
    </row>
    <row r="945" ht="15.75" customHeight="1">
      <c r="B945" s="12"/>
      <c r="C945" s="12"/>
      <c r="D945" s="12"/>
      <c r="E945" s="12"/>
      <c r="I945" s="14"/>
      <c r="J945" s="14"/>
      <c r="K945" s="15"/>
      <c r="P945" s="15"/>
      <c r="R945" s="16"/>
    </row>
    <row r="946" ht="15.75" customHeight="1">
      <c r="B946" s="12"/>
      <c r="C946" s="12"/>
      <c r="D946" s="12"/>
      <c r="E946" s="12"/>
      <c r="I946" s="14"/>
      <c r="J946" s="14"/>
      <c r="K946" s="15"/>
      <c r="P946" s="15"/>
      <c r="R946" s="16"/>
    </row>
    <row r="947" ht="15.75" customHeight="1">
      <c r="B947" s="12"/>
      <c r="C947" s="12"/>
      <c r="D947" s="12"/>
      <c r="E947" s="12"/>
      <c r="I947" s="14"/>
      <c r="J947" s="14"/>
      <c r="K947" s="15"/>
      <c r="P947" s="15"/>
      <c r="R947" s="16"/>
    </row>
    <row r="948" ht="15.75" customHeight="1">
      <c r="B948" s="12"/>
      <c r="C948" s="12"/>
      <c r="D948" s="12"/>
      <c r="E948" s="12"/>
      <c r="I948" s="14"/>
      <c r="J948" s="14"/>
      <c r="K948" s="15"/>
      <c r="P948" s="15"/>
      <c r="R948" s="16"/>
    </row>
    <row r="949" ht="15.75" customHeight="1">
      <c r="B949" s="12"/>
      <c r="C949" s="12"/>
      <c r="D949" s="12"/>
      <c r="E949" s="12"/>
      <c r="I949" s="14"/>
      <c r="J949" s="14"/>
      <c r="K949" s="15"/>
      <c r="P949" s="15"/>
      <c r="R949" s="16"/>
    </row>
    <row r="950" ht="15.75" customHeight="1">
      <c r="B950" s="12"/>
      <c r="C950" s="12"/>
      <c r="D950" s="12"/>
      <c r="E950" s="12"/>
      <c r="I950" s="14"/>
      <c r="J950" s="14"/>
      <c r="K950" s="15"/>
      <c r="P950" s="15"/>
      <c r="R950" s="16"/>
    </row>
    <row r="951" ht="15.75" customHeight="1">
      <c r="B951" s="12"/>
      <c r="C951" s="12"/>
      <c r="D951" s="12"/>
      <c r="E951" s="12"/>
      <c r="I951" s="14"/>
      <c r="J951" s="14"/>
      <c r="K951" s="15"/>
      <c r="P951" s="15"/>
      <c r="R951" s="16"/>
    </row>
    <row r="952" ht="15.75" customHeight="1">
      <c r="B952" s="12"/>
      <c r="C952" s="12"/>
      <c r="D952" s="12"/>
      <c r="E952" s="12"/>
      <c r="I952" s="14"/>
      <c r="J952" s="14"/>
      <c r="K952" s="15"/>
      <c r="P952" s="15"/>
      <c r="R952" s="16"/>
    </row>
    <row r="953" ht="15.75" customHeight="1">
      <c r="B953" s="12"/>
      <c r="C953" s="12"/>
      <c r="D953" s="12"/>
      <c r="E953" s="12"/>
      <c r="I953" s="14"/>
      <c r="J953" s="14"/>
      <c r="K953" s="15"/>
      <c r="P953" s="15"/>
      <c r="R953" s="16"/>
    </row>
    <row r="954" ht="15.75" customHeight="1">
      <c r="B954" s="12"/>
      <c r="C954" s="12"/>
      <c r="D954" s="12"/>
      <c r="E954" s="12"/>
      <c r="I954" s="14"/>
      <c r="J954" s="14"/>
      <c r="K954" s="15"/>
      <c r="P954" s="15"/>
      <c r="R954" s="16"/>
    </row>
    <row r="955" ht="15.75" customHeight="1">
      <c r="B955" s="12"/>
      <c r="C955" s="12"/>
      <c r="D955" s="12"/>
      <c r="E955" s="12"/>
      <c r="I955" s="14"/>
      <c r="J955" s="14"/>
      <c r="K955" s="15"/>
      <c r="P955" s="15"/>
      <c r="R955" s="16"/>
    </row>
    <row r="956" ht="15.75" customHeight="1">
      <c r="B956" s="12"/>
      <c r="C956" s="12"/>
      <c r="D956" s="12"/>
      <c r="E956" s="12"/>
      <c r="I956" s="14"/>
      <c r="J956" s="14"/>
      <c r="K956" s="15"/>
      <c r="P956" s="15"/>
      <c r="R956" s="16"/>
    </row>
    <row r="957" ht="15.75" customHeight="1">
      <c r="B957" s="12"/>
      <c r="C957" s="12"/>
      <c r="D957" s="12"/>
      <c r="E957" s="12"/>
      <c r="I957" s="14"/>
      <c r="J957" s="14"/>
      <c r="K957" s="15"/>
      <c r="P957" s="15"/>
      <c r="R957" s="16"/>
    </row>
    <row r="958" ht="15.75" customHeight="1">
      <c r="B958" s="12"/>
      <c r="C958" s="12"/>
      <c r="D958" s="12"/>
      <c r="E958" s="12"/>
      <c r="I958" s="14"/>
      <c r="J958" s="14"/>
      <c r="K958" s="15"/>
      <c r="P958" s="15"/>
      <c r="R958" s="16"/>
    </row>
    <row r="959" ht="15.75" customHeight="1">
      <c r="B959" s="12"/>
      <c r="C959" s="12"/>
      <c r="D959" s="12"/>
      <c r="E959" s="12"/>
      <c r="I959" s="14"/>
      <c r="J959" s="14"/>
      <c r="K959" s="15"/>
      <c r="P959" s="15"/>
      <c r="R959" s="16"/>
    </row>
    <row r="960" ht="15.75" customHeight="1">
      <c r="B960" s="12"/>
      <c r="C960" s="12"/>
      <c r="D960" s="12"/>
      <c r="E960" s="12"/>
      <c r="I960" s="14"/>
      <c r="J960" s="14"/>
      <c r="K960" s="15"/>
      <c r="P960" s="15"/>
      <c r="R960" s="16"/>
    </row>
    <row r="961" ht="15.75" customHeight="1">
      <c r="B961" s="12"/>
      <c r="C961" s="12"/>
      <c r="D961" s="12"/>
      <c r="E961" s="12"/>
      <c r="I961" s="14"/>
      <c r="J961" s="14"/>
      <c r="K961" s="15"/>
      <c r="P961" s="15"/>
      <c r="R961" s="16"/>
    </row>
    <row r="962" ht="15.75" customHeight="1">
      <c r="B962" s="12"/>
      <c r="C962" s="12"/>
      <c r="D962" s="12"/>
      <c r="E962" s="12"/>
      <c r="I962" s="14"/>
      <c r="J962" s="14"/>
      <c r="K962" s="15"/>
      <c r="P962" s="15"/>
      <c r="R962" s="16"/>
    </row>
    <row r="963" ht="15.75" customHeight="1">
      <c r="B963" s="12"/>
      <c r="C963" s="12"/>
      <c r="D963" s="12"/>
      <c r="E963" s="12"/>
      <c r="I963" s="14"/>
      <c r="J963" s="14"/>
      <c r="K963" s="15"/>
      <c r="P963" s="15"/>
      <c r="R963" s="16"/>
    </row>
    <row r="964" ht="15.75" customHeight="1">
      <c r="B964" s="12"/>
      <c r="C964" s="12"/>
      <c r="D964" s="12"/>
      <c r="E964" s="12"/>
      <c r="I964" s="14"/>
      <c r="J964" s="14"/>
      <c r="K964" s="15"/>
      <c r="P964" s="15"/>
      <c r="R964" s="16"/>
    </row>
    <row r="965" ht="15.75" customHeight="1">
      <c r="B965" s="12"/>
      <c r="C965" s="12"/>
      <c r="D965" s="12"/>
      <c r="E965" s="12"/>
      <c r="I965" s="14"/>
      <c r="J965" s="14"/>
      <c r="K965" s="15"/>
      <c r="P965" s="15"/>
      <c r="R965" s="16"/>
    </row>
    <row r="966" ht="15.75" customHeight="1">
      <c r="B966" s="12"/>
      <c r="C966" s="12"/>
      <c r="D966" s="12"/>
      <c r="E966" s="12"/>
      <c r="I966" s="14"/>
      <c r="J966" s="14"/>
      <c r="K966" s="15"/>
      <c r="P966" s="15"/>
      <c r="R966" s="16"/>
    </row>
    <row r="967" ht="15.75" customHeight="1">
      <c r="B967" s="12"/>
      <c r="C967" s="12"/>
      <c r="D967" s="12"/>
      <c r="E967" s="12"/>
      <c r="I967" s="14"/>
      <c r="J967" s="14"/>
      <c r="K967" s="15"/>
      <c r="P967" s="15"/>
      <c r="R967" s="16"/>
    </row>
    <row r="968" ht="15.75" customHeight="1">
      <c r="B968" s="12"/>
      <c r="C968" s="12"/>
      <c r="D968" s="12"/>
      <c r="E968" s="12"/>
      <c r="I968" s="14"/>
      <c r="J968" s="14"/>
      <c r="K968" s="15"/>
      <c r="P968" s="15"/>
      <c r="R968" s="16"/>
    </row>
    <row r="969" ht="15.75" customHeight="1">
      <c r="B969" s="12"/>
      <c r="C969" s="12"/>
      <c r="D969" s="12"/>
      <c r="E969" s="12"/>
      <c r="I969" s="14"/>
      <c r="J969" s="14"/>
      <c r="K969" s="15"/>
      <c r="P969" s="15"/>
      <c r="R969" s="16"/>
    </row>
    <row r="970" ht="15.75" customHeight="1">
      <c r="B970" s="12"/>
      <c r="C970" s="12"/>
      <c r="D970" s="12"/>
      <c r="E970" s="12"/>
      <c r="I970" s="14"/>
      <c r="J970" s="14"/>
      <c r="K970" s="15"/>
      <c r="P970" s="15"/>
      <c r="R970" s="16"/>
    </row>
    <row r="971" ht="15.75" customHeight="1">
      <c r="B971" s="12"/>
      <c r="C971" s="12"/>
      <c r="D971" s="12"/>
      <c r="E971" s="12"/>
      <c r="I971" s="14"/>
      <c r="J971" s="14"/>
      <c r="K971" s="15"/>
      <c r="P971" s="15"/>
      <c r="R971" s="16"/>
    </row>
    <row r="972" ht="15.75" customHeight="1">
      <c r="B972" s="12"/>
      <c r="C972" s="12"/>
      <c r="D972" s="12"/>
      <c r="E972" s="12"/>
      <c r="I972" s="14"/>
      <c r="J972" s="14"/>
      <c r="K972" s="15"/>
      <c r="P972" s="15"/>
      <c r="R972" s="16"/>
    </row>
    <row r="973" ht="15.75" customHeight="1">
      <c r="B973" s="12"/>
      <c r="C973" s="12"/>
      <c r="D973" s="12"/>
      <c r="E973" s="12"/>
      <c r="I973" s="14"/>
      <c r="J973" s="14"/>
      <c r="K973" s="15"/>
      <c r="P973" s="15"/>
      <c r="R973" s="16"/>
    </row>
    <row r="974" ht="15.75" customHeight="1">
      <c r="B974" s="12"/>
      <c r="C974" s="12"/>
      <c r="D974" s="12"/>
      <c r="E974" s="12"/>
      <c r="I974" s="14"/>
      <c r="J974" s="14"/>
      <c r="K974" s="15"/>
      <c r="P974" s="15"/>
      <c r="R974" s="16"/>
    </row>
    <row r="975" ht="15.75" customHeight="1">
      <c r="B975" s="12"/>
      <c r="C975" s="12"/>
      <c r="D975" s="12"/>
      <c r="E975" s="12"/>
      <c r="I975" s="14"/>
      <c r="J975" s="14"/>
      <c r="K975" s="15"/>
      <c r="P975" s="15"/>
      <c r="R975" s="16"/>
    </row>
    <row r="976" ht="15.75" customHeight="1">
      <c r="B976" s="12"/>
      <c r="C976" s="12"/>
      <c r="D976" s="12"/>
      <c r="E976" s="12"/>
      <c r="I976" s="14"/>
      <c r="J976" s="14"/>
      <c r="K976" s="15"/>
      <c r="P976" s="15"/>
      <c r="R976" s="16"/>
    </row>
    <row r="977" ht="15.75" customHeight="1">
      <c r="B977" s="12"/>
      <c r="C977" s="12"/>
      <c r="D977" s="12"/>
      <c r="E977" s="12"/>
      <c r="I977" s="14"/>
      <c r="J977" s="14"/>
      <c r="K977" s="15"/>
      <c r="P977" s="15"/>
      <c r="R977" s="16"/>
    </row>
    <row r="978" ht="15.75" customHeight="1">
      <c r="B978" s="12"/>
      <c r="C978" s="12"/>
      <c r="D978" s="12"/>
      <c r="E978" s="12"/>
      <c r="I978" s="14"/>
      <c r="J978" s="14"/>
      <c r="K978" s="15"/>
      <c r="P978" s="15"/>
      <c r="R978" s="16"/>
    </row>
    <row r="979" ht="15.75" customHeight="1">
      <c r="B979" s="12"/>
      <c r="C979" s="12"/>
      <c r="D979" s="12"/>
      <c r="E979" s="12"/>
      <c r="I979" s="14"/>
      <c r="J979" s="14"/>
      <c r="K979" s="15"/>
      <c r="P979" s="15"/>
      <c r="R979" s="16"/>
    </row>
    <row r="980" ht="15.75" customHeight="1">
      <c r="B980" s="12"/>
      <c r="C980" s="12"/>
      <c r="D980" s="12"/>
      <c r="E980" s="12"/>
      <c r="I980" s="14"/>
      <c r="J980" s="14"/>
      <c r="K980" s="15"/>
      <c r="P980" s="15"/>
      <c r="R980" s="16"/>
    </row>
    <row r="981" ht="15.75" customHeight="1">
      <c r="B981" s="12"/>
      <c r="C981" s="12"/>
      <c r="D981" s="12"/>
      <c r="E981" s="12"/>
      <c r="I981" s="14"/>
      <c r="J981" s="14"/>
      <c r="K981" s="15"/>
      <c r="P981" s="15"/>
      <c r="R981" s="16"/>
    </row>
    <row r="982" ht="15.75" customHeight="1">
      <c r="B982" s="12"/>
      <c r="C982" s="12"/>
      <c r="D982" s="12"/>
      <c r="E982" s="12"/>
      <c r="I982" s="14"/>
      <c r="J982" s="14"/>
      <c r="K982" s="15"/>
      <c r="P982" s="15"/>
      <c r="R982" s="16"/>
    </row>
    <row r="983" ht="15.75" customHeight="1">
      <c r="B983" s="12"/>
      <c r="C983" s="12"/>
      <c r="D983" s="12"/>
      <c r="E983" s="12"/>
      <c r="I983" s="14"/>
      <c r="J983" s="14"/>
      <c r="K983" s="15"/>
      <c r="P983" s="15"/>
      <c r="R983" s="16"/>
    </row>
    <row r="984" ht="15.75" customHeight="1">
      <c r="B984" s="12"/>
      <c r="C984" s="12"/>
      <c r="D984" s="12"/>
      <c r="E984" s="12"/>
      <c r="I984" s="14"/>
      <c r="J984" s="14"/>
      <c r="K984" s="15"/>
      <c r="P984" s="15"/>
      <c r="R984" s="16"/>
    </row>
    <row r="985" ht="15.75" customHeight="1">
      <c r="B985" s="12"/>
      <c r="C985" s="12"/>
      <c r="D985" s="12"/>
      <c r="E985" s="12"/>
      <c r="I985" s="14"/>
      <c r="J985" s="14"/>
      <c r="K985" s="15"/>
      <c r="P985" s="15"/>
      <c r="R985" s="16"/>
    </row>
    <row r="986" ht="15.75" customHeight="1">
      <c r="B986" s="12"/>
      <c r="C986" s="12"/>
      <c r="D986" s="12"/>
      <c r="E986" s="12"/>
      <c r="I986" s="14"/>
      <c r="J986" s="14"/>
      <c r="K986" s="15"/>
      <c r="P986" s="15"/>
      <c r="R986" s="16"/>
    </row>
    <row r="987" ht="15.75" customHeight="1">
      <c r="B987" s="12"/>
      <c r="C987" s="12"/>
      <c r="D987" s="12"/>
      <c r="E987" s="12"/>
      <c r="I987" s="14"/>
      <c r="J987" s="14"/>
      <c r="K987" s="15"/>
      <c r="P987" s="15"/>
      <c r="R987" s="16"/>
    </row>
    <row r="988" ht="15.75" customHeight="1">
      <c r="B988" s="12"/>
      <c r="C988" s="12"/>
      <c r="D988" s="12"/>
      <c r="E988" s="12"/>
      <c r="I988" s="14"/>
      <c r="J988" s="14"/>
      <c r="K988" s="15"/>
      <c r="P988" s="15"/>
      <c r="R988" s="16"/>
    </row>
    <row r="989" ht="15.75" customHeight="1">
      <c r="B989" s="12"/>
      <c r="C989" s="12"/>
      <c r="D989" s="12"/>
      <c r="E989" s="12"/>
      <c r="I989" s="14"/>
      <c r="J989" s="14"/>
      <c r="K989" s="15"/>
      <c r="P989" s="15"/>
      <c r="R989" s="16"/>
    </row>
    <row r="990" ht="15.75" customHeight="1">
      <c r="B990" s="12"/>
      <c r="C990" s="12"/>
      <c r="D990" s="12"/>
      <c r="E990" s="12"/>
      <c r="I990" s="14"/>
      <c r="J990" s="14"/>
      <c r="K990" s="15"/>
      <c r="P990" s="15"/>
      <c r="R990" s="16"/>
    </row>
    <row r="991" ht="15.75" customHeight="1">
      <c r="B991" s="12"/>
      <c r="C991" s="12"/>
      <c r="D991" s="12"/>
      <c r="E991" s="12"/>
      <c r="I991" s="14"/>
      <c r="J991" s="14"/>
      <c r="K991" s="15"/>
      <c r="P991" s="15"/>
      <c r="R991" s="16"/>
    </row>
    <row r="992" ht="15.75" customHeight="1">
      <c r="B992" s="12"/>
      <c r="C992" s="12"/>
      <c r="D992" s="12"/>
      <c r="E992" s="12"/>
      <c r="I992" s="14"/>
      <c r="J992" s="14"/>
      <c r="K992" s="15"/>
      <c r="P992" s="15"/>
      <c r="R992" s="16"/>
    </row>
    <row r="993" ht="15.75" customHeight="1">
      <c r="B993" s="12"/>
      <c r="C993" s="12"/>
      <c r="D993" s="12"/>
      <c r="E993" s="12"/>
      <c r="I993" s="14"/>
      <c r="J993" s="14"/>
      <c r="K993" s="15"/>
      <c r="P993" s="15"/>
      <c r="R993" s="16"/>
    </row>
    <row r="994" ht="15.75" customHeight="1">
      <c r="B994" s="12"/>
      <c r="C994" s="12"/>
      <c r="D994" s="12"/>
      <c r="E994" s="12"/>
      <c r="I994" s="14"/>
      <c r="J994" s="14"/>
      <c r="K994" s="15"/>
      <c r="P994" s="15"/>
      <c r="R994" s="16"/>
    </row>
    <row r="995" ht="15.75" customHeight="1">
      <c r="B995" s="12"/>
      <c r="C995" s="12"/>
      <c r="D995" s="12"/>
      <c r="E995" s="12"/>
      <c r="I995" s="14"/>
      <c r="J995" s="14"/>
      <c r="K995" s="15"/>
      <c r="P995" s="15"/>
      <c r="R995" s="16"/>
    </row>
    <row r="996" ht="15.75" customHeight="1">
      <c r="B996" s="12"/>
      <c r="C996" s="12"/>
      <c r="D996" s="12"/>
      <c r="E996" s="12"/>
      <c r="I996" s="14"/>
      <c r="J996" s="14"/>
      <c r="K996" s="15"/>
      <c r="P996" s="15"/>
      <c r="R996" s="16"/>
    </row>
    <row r="997" ht="15.75" customHeight="1">
      <c r="B997" s="12"/>
      <c r="C997" s="12"/>
      <c r="D997" s="12"/>
      <c r="E997" s="12"/>
      <c r="I997" s="14"/>
      <c r="J997" s="14"/>
      <c r="K997" s="15"/>
      <c r="P997" s="15"/>
      <c r="R997" s="16"/>
    </row>
    <row r="998" ht="15.75" customHeight="1">
      <c r="B998" s="12"/>
      <c r="C998" s="12"/>
      <c r="D998" s="12"/>
      <c r="E998" s="12"/>
      <c r="I998" s="14"/>
      <c r="J998" s="14"/>
      <c r="K998" s="15"/>
      <c r="P998" s="15"/>
      <c r="R998" s="16"/>
    </row>
    <row r="999" ht="15.75" customHeight="1">
      <c r="B999" s="12"/>
      <c r="C999" s="12"/>
      <c r="D999" s="12"/>
      <c r="E999" s="12"/>
      <c r="I999" s="14"/>
      <c r="J999" s="14"/>
      <c r="K999" s="15"/>
      <c r="P999" s="15"/>
      <c r="R999" s="16"/>
    </row>
    <row r="1000" ht="15.75" customHeight="1">
      <c r="B1000" s="12"/>
      <c r="C1000" s="12"/>
      <c r="D1000" s="12"/>
      <c r="E1000" s="12"/>
      <c r="I1000" s="14"/>
      <c r="J1000" s="14"/>
      <c r="K1000" s="15"/>
      <c r="P1000" s="15"/>
      <c r="R1000" s="16"/>
    </row>
  </sheetData>
  <autoFilter ref="$A$4:$R$46"/>
  <mergeCells count="9">
    <mergeCell ref="A53:K53"/>
    <mergeCell ref="A54:K54"/>
    <mergeCell ref="A1:R1"/>
    <mergeCell ref="A2:R2"/>
    <mergeCell ref="A48:K48"/>
    <mergeCell ref="A49:K49"/>
    <mergeCell ref="A50:K50"/>
    <mergeCell ref="A51:K51"/>
    <mergeCell ref="A52:K52"/>
  </mergeCells>
  <dataValidations>
    <dataValidation type="list" allowBlank="1" sqref="B5:B47 B55:B205">
      <formula1>'6_Referensi'!$E$4:$E$15</formula1>
    </dataValidation>
    <dataValidation type="list" allowBlank="1" sqref="H5:H47 H55:H205">
      <formula1>'6_Referensi'!$D$4:$D$5</formula1>
    </dataValidation>
    <dataValidation type="list" allowBlank="1" sqref="G5:G47 G55:G205">
      <formula1>'6_Referensi'!$C$4:$C$5</formula1>
    </dataValidation>
    <dataValidation type="list" allowBlank="1" sqref="E5:E47 E55:E205">
      <formula1>'6_Referensi'!$A$4:$A$8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9" width="15.0"/>
    <col customWidth="1" min="10" max="26" width="8.71"/>
  </cols>
  <sheetData>
    <row r="1" ht="25.5" customHeight="1">
      <c r="A1" s="2" t="s">
        <v>165</v>
      </c>
      <c r="B1" s="3"/>
      <c r="C1" s="3"/>
      <c r="D1" s="3"/>
      <c r="E1" s="3"/>
      <c r="F1" s="3"/>
      <c r="G1" s="3"/>
      <c r="H1" s="3"/>
      <c r="I1" s="3"/>
      <c r="J1" s="5"/>
    </row>
    <row r="2">
      <c r="A2" s="6" t="s">
        <v>167</v>
      </c>
    </row>
    <row r="4">
      <c r="A4" s="1" t="s">
        <v>168</v>
      </c>
    </row>
    <row r="5">
      <c r="A5" s="6" t="s">
        <v>169</v>
      </c>
    </row>
    <row r="6">
      <c r="A6" s="4" t="s">
        <v>3</v>
      </c>
      <c r="B6" s="50" t="s">
        <v>23</v>
      </c>
      <c r="C6" s="50" t="s">
        <v>33</v>
      </c>
      <c r="D6" s="4" t="s">
        <v>43</v>
      </c>
      <c r="E6" s="4" t="s">
        <v>50</v>
      </c>
      <c r="F6" s="4" t="s">
        <v>54</v>
      </c>
      <c r="G6" s="4" t="s">
        <v>58</v>
      </c>
      <c r="H6" s="4" t="s">
        <v>63</v>
      </c>
      <c r="I6" s="4" t="s">
        <v>74</v>
      </c>
    </row>
    <row r="7">
      <c r="A7" s="7" t="s">
        <v>15</v>
      </c>
      <c r="B7" s="51">
        <f>COUNTIFS('3_Master_Benchmark'!$E$5:$E$46,$A7,'3_Master_Benchmark'!$B$5:$B$46,B$6)</f>
        <v>0</v>
      </c>
      <c r="C7" s="51">
        <f>COUNTIFS('3_Master_Benchmark'!$E$5:$E$46,$A7,'3_Master_Benchmark'!$B$5:$B$46,C$6)</f>
        <v>0</v>
      </c>
      <c r="D7" s="51">
        <f>COUNTIFS('3_Master_Benchmark'!$E$5:$E$46,$A7,'3_Master_Benchmark'!$B$5:$B$46,D$6)</f>
        <v>0</v>
      </c>
      <c r="E7" s="51">
        <f>COUNTIFS('3_Master_Benchmark'!$E$5:$E$46,$A7,'3_Master_Benchmark'!$B$5:$B$46,E$6)</f>
        <v>0</v>
      </c>
      <c r="F7" s="51">
        <f>COUNTIFS('3_Master_Benchmark'!$E$5:$E$46,$A7,'3_Master_Benchmark'!$B$5:$B$46,F$6)</f>
        <v>0</v>
      </c>
      <c r="G7" s="51">
        <f>COUNTIFS('3_Master_Benchmark'!$E$5:$E$46,$A7,'3_Master_Benchmark'!$B$5:$B$46,G$6)</f>
        <v>0</v>
      </c>
      <c r="H7" s="51">
        <f>COUNTIFS('3_Master_Benchmark'!$E$5:$E$46,$A7,'3_Master_Benchmark'!$B$5:$B$46,H$6)</f>
        <v>0</v>
      </c>
      <c r="I7" s="51">
        <f>COUNTIFS('3_Master_Benchmark'!$E$5:$E$46,$A7,'3_Master_Benchmark'!$B$5:$B$46,I$6)</f>
        <v>0</v>
      </c>
    </row>
    <row r="8">
      <c r="A8" s="7" t="s">
        <v>26</v>
      </c>
      <c r="B8" s="51">
        <f>COUNTIFS('3_Master_Benchmark'!$E$5:$E$46,$A8,'3_Master_Benchmark'!$B$5:$B$46,B$6)</f>
        <v>0</v>
      </c>
      <c r="C8" s="51">
        <f>COUNTIFS('3_Master_Benchmark'!$E$5:$E$46,$A8,'3_Master_Benchmark'!$B$5:$B$46,C$6)</f>
        <v>1</v>
      </c>
      <c r="D8" s="51">
        <f>COUNTIFS('3_Master_Benchmark'!$E$5:$E$46,$A8,'3_Master_Benchmark'!$B$5:$B$46,D$6)</f>
        <v>6</v>
      </c>
      <c r="E8" s="51">
        <f>COUNTIFS('3_Master_Benchmark'!$E$5:$E$46,$A8,'3_Master_Benchmark'!$B$5:$B$46,E$6)</f>
        <v>2</v>
      </c>
      <c r="F8" s="51">
        <f>COUNTIFS('3_Master_Benchmark'!$E$5:$E$46,$A8,'3_Master_Benchmark'!$B$5:$B$46,F$6)</f>
        <v>3</v>
      </c>
      <c r="G8" s="51">
        <f>COUNTIFS('3_Master_Benchmark'!$E$5:$E$46,$A8,'3_Master_Benchmark'!$B$5:$B$46,G$6)</f>
        <v>1</v>
      </c>
      <c r="H8" s="51">
        <f>COUNTIFS('3_Master_Benchmark'!$E$5:$E$46,$A8,'3_Master_Benchmark'!$B$5:$B$46,H$6)</f>
        <v>1</v>
      </c>
      <c r="I8" s="51">
        <f>COUNTIFS('3_Master_Benchmark'!$E$5:$E$46,$A8,'3_Master_Benchmark'!$B$5:$B$46,I$6)</f>
        <v>0</v>
      </c>
    </row>
    <row r="9">
      <c r="A9" s="7" t="s">
        <v>37</v>
      </c>
      <c r="B9" s="51">
        <f>COUNTIFS('3_Master_Benchmark'!$E$5:$E$46,$A9,'3_Master_Benchmark'!$B$5:$B$46,B$6)</f>
        <v>0</v>
      </c>
      <c r="C9" s="51">
        <f>COUNTIFS('3_Master_Benchmark'!$E$5:$E$46,$A9,'3_Master_Benchmark'!$B$5:$B$46,C$6)</f>
        <v>0</v>
      </c>
      <c r="D9" s="51">
        <f>COUNTIFS('3_Master_Benchmark'!$E$5:$E$46,$A9,'3_Master_Benchmark'!$B$5:$B$46,D$6)</f>
        <v>1</v>
      </c>
      <c r="E9" s="51">
        <f>COUNTIFS('3_Master_Benchmark'!$E$5:$E$46,$A9,'3_Master_Benchmark'!$B$5:$B$46,E$6)</f>
        <v>3</v>
      </c>
      <c r="F9" s="51">
        <f>COUNTIFS('3_Master_Benchmark'!$E$5:$E$46,$A9,'3_Master_Benchmark'!$B$5:$B$46,F$6)</f>
        <v>1</v>
      </c>
      <c r="G9" s="51">
        <f>COUNTIFS('3_Master_Benchmark'!$E$5:$E$46,$A9,'3_Master_Benchmark'!$B$5:$B$46,G$6)</f>
        <v>1</v>
      </c>
      <c r="H9" s="51">
        <f>COUNTIFS('3_Master_Benchmark'!$E$5:$E$46,$A9,'3_Master_Benchmark'!$B$5:$B$46,H$6)</f>
        <v>0</v>
      </c>
      <c r="I9" s="51">
        <f>COUNTIFS('3_Master_Benchmark'!$E$5:$E$46,$A9,'3_Master_Benchmark'!$B$5:$B$46,I$6)</f>
        <v>0</v>
      </c>
    </row>
    <row r="10">
      <c r="A10" s="7" t="s">
        <v>47</v>
      </c>
      <c r="B10" s="51">
        <f>COUNTIFS('3_Master_Benchmark'!$E$5:$E$46,$A10,'3_Master_Benchmark'!$B$5:$B$46,B$6)</f>
        <v>8</v>
      </c>
      <c r="C10" s="51">
        <f>COUNTIFS('3_Master_Benchmark'!$E$5:$E$46,$A10,'3_Master_Benchmark'!$B$5:$B$46,C$6)</f>
        <v>1</v>
      </c>
      <c r="D10" s="51">
        <f>COUNTIFS('3_Master_Benchmark'!$E$5:$E$46,$A10,'3_Master_Benchmark'!$B$5:$B$46,D$6)</f>
        <v>3</v>
      </c>
      <c r="E10" s="51">
        <f>COUNTIFS('3_Master_Benchmark'!$E$5:$E$46,$A10,'3_Master_Benchmark'!$B$5:$B$46,E$6)</f>
        <v>1</v>
      </c>
      <c r="F10" s="51">
        <f>COUNTIFS('3_Master_Benchmark'!$E$5:$E$46,$A10,'3_Master_Benchmark'!$B$5:$B$46,F$6)</f>
        <v>1</v>
      </c>
      <c r="G10" s="51">
        <f>COUNTIFS('3_Master_Benchmark'!$E$5:$E$46,$A10,'3_Master_Benchmark'!$B$5:$B$46,G$6)</f>
        <v>0</v>
      </c>
      <c r="H10" s="51">
        <f>COUNTIFS('3_Master_Benchmark'!$E$5:$E$46,$A10,'3_Master_Benchmark'!$B$5:$B$46,H$6)</f>
        <v>0</v>
      </c>
      <c r="I10" s="51">
        <f>COUNTIFS('3_Master_Benchmark'!$E$5:$E$46,$A10,'3_Master_Benchmark'!$B$5:$B$46,I$6)</f>
        <v>3</v>
      </c>
    </row>
    <row r="11">
      <c r="A11" s="7" t="s">
        <v>51</v>
      </c>
      <c r="B11" s="51">
        <f>COUNTIFS('3_Master_Benchmark'!$E$5:$E$46,$A11,'3_Master_Benchmark'!$B$5:$B$46,B$6)</f>
        <v>1</v>
      </c>
      <c r="C11" s="51">
        <f>COUNTIFS('3_Master_Benchmark'!$E$5:$E$46,$A11,'3_Master_Benchmark'!$B$5:$B$46,C$6)</f>
        <v>0</v>
      </c>
      <c r="D11" s="51">
        <f>COUNTIFS('3_Master_Benchmark'!$E$5:$E$46,$A11,'3_Master_Benchmark'!$B$5:$B$46,D$6)</f>
        <v>0</v>
      </c>
      <c r="E11" s="51">
        <f>COUNTIFS('3_Master_Benchmark'!$E$5:$E$46,$A11,'3_Master_Benchmark'!$B$5:$B$46,E$6)</f>
        <v>0</v>
      </c>
      <c r="F11" s="51">
        <f>COUNTIFS('3_Master_Benchmark'!$E$5:$E$46,$A11,'3_Master_Benchmark'!$B$5:$B$46,F$6)</f>
        <v>0</v>
      </c>
      <c r="G11" s="51">
        <f>COUNTIFS('3_Master_Benchmark'!$E$5:$E$46,$A11,'3_Master_Benchmark'!$B$5:$B$46,G$6)</f>
        <v>0</v>
      </c>
      <c r="H11" s="51">
        <f>COUNTIFS('3_Master_Benchmark'!$E$5:$E$46,$A11,'3_Master_Benchmark'!$B$5:$B$46,H$6)</f>
        <v>0</v>
      </c>
      <c r="I11" s="51">
        <f>COUNTIFS('3_Master_Benchmark'!$E$5:$E$46,$A11,'3_Master_Benchmark'!$B$5:$B$46,I$6)</f>
        <v>0</v>
      </c>
    </row>
    <row r="14">
      <c r="A14" s="1" t="s">
        <v>248</v>
      </c>
    </row>
    <row r="15">
      <c r="A15" s="6" t="s">
        <v>251</v>
      </c>
    </row>
    <row r="16">
      <c r="A16" s="4" t="s">
        <v>5</v>
      </c>
      <c r="B16" s="50" t="s">
        <v>23</v>
      </c>
      <c r="C16" s="50" t="s">
        <v>33</v>
      </c>
      <c r="D16" s="4" t="s">
        <v>43</v>
      </c>
      <c r="E16" s="4" t="s">
        <v>50</v>
      </c>
      <c r="F16" s="4" t="s">
        <v>54</v>
      </c>
      <c r="G16" s="4" t="s">
        <v>58</v>
      </c>
      <c r="H16" s="4" t="s">
        <v>63</v>
      </c>
      <c r="I16" s="4" t="s">
        <v>74</v>
      </c>
    </row>
    <row r="17">
      <c r="A17" s="7" t="s">
        <v>20</v>
      </c>
      <c r="B17" s="51" t="str">
        <f>COUNTIFS(#REF!,$A17,'3_Master_Benchmark'!$B$5:$B$46,B$16)</f>
        <v>#VALUE!</v>
      </c>
      <c r="C17" s="51" t="str">
        <f>COUNTIFS(#REF!,$A17,'3_Master_Benchmark'!$B$5:$B$46,C$16)</f>
        <v>#VALUE!</v>
      </c>
      <c r="D17" s="51" t="str">
        <f>COUNTIFS(#REF!,$A17,'3_Master_Benchmark'!$B$5:$B$46,D$16)</f>
        <v>#VALUE!</v>
      </c>
      <c r="E17" s="51" t="str">
        <f>COUNTIFS(#REF!,$A17,'3_Master_Benchmark'!$B$5:$B$46,E$16)</f>
        <v>#VALUE!</v>
      </c>
      <c r="F17" s="51" t="str">
        <f>COUNTIFS(#REF!,$A17,'3_Master_Benchmark'!$B$5:$B$46,F$16)</f>
        <v>#VALUE!</v>
      </c>
      <c r="G17" s="51" t="str">
        <f>COUNTIFS(#REF!,$A17,'3_Master_Benchmark'!$B$5:$B$46,G$16)</f>
        <v>#VALUE!</v>
      </c>
      <c r="H17" s="51" t="str">
        <f>COUNTIFS(#REF!,$A17,'3_Master_Benchmark'!$B$5:$B$46,H$16)</f>
        <v>#VALUE!</v>
      </c>
      <c r="I17" s="51" t="str">
        <f>COUNTIFS(#REF!,$A17,'3_Master_Benchmark'!$B$5:$B$46,I$16)</f>
        <v>#VALUE!</v>
      </c>
    </row>
    <row r="18">
      <c r="A18" s="7" t="s">
        <v>28</v>
      </c>
      <c r="B18" s="51" t="str">
        <f>COUNTIFS(#REF!,$A18,'3_Master_Benchmark'!$B$5:$B$46,B$16)</f>
        <v>#VALUE!</v>
      </c>
      <c r="C18" s="51" t="str">
        <f>COUNTIFS(#REF!,$A18,'3_Master_Benchmark'!$B$5:$B$46,C$16)</f>
        <v>#VALUE!</v>
      </c>
      <c r="D18" s="51" t="str">
        <f>COUNTIFS(#REF!,$A18,'3_Master_Benchmark'!$B$5:$B$46,D$16)</f>
        <v>#VALUE!</v>
      </c>
      <c r="E18" s="51" t="str">
        <f>COUNTIFS(#REF!,$A18,'3_Master_Benchmark'!$B$5:$B$46,E$16)</f>
        <v>#VALUE!</v>
      </c>
      <c r="F18" s="51" t="str">
        <f>COUNTIFS(#REF!,$A18,'3_Master_Benchmark'!$B$5:$B$46,F$16)</f>
        <v>#VALUE!</v>
      </c>
      <c r="G18" s="51" t="str">
        <f>COUNTIFS(#REF!,$A18,'3_Master_Benchmark'!$B$5:$B$46,G$16)</f>
        <v>#VALUE!</v>
      </c>
      <c r="H18" s="51" t="str">
        <f>COUNTIFS(#REF!,$A18,'3_Master_Benchmark'!$B$5:$B$46,H$16)</f>
        <v>#VALUE!</v>
      </c>
      <c r="I18" s="51" t="str">
        <f>COUNTIFS(#REF!,$A18,'3_Master_Benchmark'!$B$5:$B$46,I$16)</f>
        <v>#VALUE!</v>
      </c>
    </row>
    <row r="19">
      <c r="A19" s="7" t="s">
        <v>41</v>
      </c>
      <c r="B19" s="51" t="str">
        <f>COUNTIFS(#REF!,$A19,'3_Master_Benchmark'!$B$5:$B$46,B$16)</f>
        <v>#VALUE!</v>
      </c>
      <c r="C19" s="51" t="str">
        <f>COUNTIFS(#REF!,$A19,'3_Master_Benchmark'!$B$5:$B$46,C$16)</f>
        <v>#VALUE!</v>
      </c>
      <c r="D19" s="51" t="str">
        <f>COUNTIFS(#REF!,$A19,'3_Master_Benchmark'!$B$5:$B$46,D$16)</f>
        <v>#VALUE!</v>
      </c>
      <c r="E19" s="51" t="str">
        <f>COUNTIFS(#REF!,$A19,'3_Master_Benchmark'!$B$5:$B$46,E$16)</f>
        <v>#VALUE!</v>
      </c>
      <c r="F19" s="51" t="str">
        <f>COUNTIFS(#REF!,$A19,'3_Master_Benchmark'!$B$5:$B$46,F$16)</f>
        <v>#VALUE!</v>
      </c>
      <c r="G19" s="51" t="str">
        <f>COUNTIFS(#REF!,$A19,'3_Master_Benchmark'!$B$5:$B$46,G$16)</f>
        <v>#VALUE!</v>
      </c>
      <c r="H19" s="51" t="str">
        <f>COUNTIFS(#REF!,$A19,'3_Master_Benchmark'!$B$5:$B$46,H$16)</f>
        <v>#VALUE!</v>
      </c>
      <c r="I19" s="51" t="str">
        <f>COUNTIFS(#REF!,$A19,'3_Master_Benchmark'!$B$5:$B$46,I$16)</f>
        <v>#VALUE!</v>
      </c>
    </row>
    <row r="20">
      <c r="A20" s="7" t="s">
        <v>48</v>
      </c>
      <c r="B20" s="51" t="str">
        <f>COUNTIFS(#REF!,$A20,'3_Master_Benchmark'!$B$5:$B$46,B$16)</f>
        <v>#VALUE!</v>
      </c>
      <c r="C20" s="51" t="str">
        <f>COUNTIFS(#REF!,$A20,'3_Master_Benchmark'!$B$5:$B$46,C$16)</f>
        <v>#VALUE!</v>
      </c>
      <c r="D20" s="51" t="str">
        <f>COUNTIFS(#REF!,$A20,'3_Master_Benchmark'!$B$5:$B$46,D$16)</f>
        <v>#VALUE!</v>
      </c>
      <c r="E20" s="51" t="str">
        <f>COUNTIFS(#REF!,$A20,'3_Master_Benchmark'!$B$5:$B$46,E$16)</f>
        <v>#VALUE!</v>
      </c>
      <c r="F20" s="51" t="str">
        <f>COUNTIFS(#REF!,$A20,'3_Master_Benchmark'!$B$5:$B$46,F$16)</f>
        <v>#VALUE!</v>
      </c>
      <c r="G20" s="51" t="str">
        <f>COUNTIFS(#REF!,$A20,'3_Master_Benchmark'!$B$5:$B$46,G$16)</f>
        <v>#VALUE!</v>
      </c>
      <c r="H20" s="51" t="str">
        <f>COUNTIFS(#REF!,$A20,'3_Master_Benchmark'!$B$5:$B$46,H$16)</f>
        <v>#VALUE!</v>
      </c>
      <c r="I20" s="51" t="str">
        <f>COUNTIFS(#REF!,$A20,'3_Master_Benchmark'!$B$5:$B$46,I$16)</f>
        <v>#VALUE!</v>
      </c>
    </row>
    <row r="21" ht="15.75" customHeight="1">
      <c r="A21" s="7" t="s">
        <v>53</v>
      </c>
      <c r="B21" s="51" t="str">
        <f>COUNTIFS(#REF!,$A21,'3_Master_Benchmark'!$B$5:$B$46,B$16)</f>
        <v>#VALUE!</v>
      </c>
      <c r="C21" s="51" t="str">
        <f>COUNTIFS(#REF!,$A21,'3_Master_Benchmark'!$B$5:$B$46,C$16)</f>
        <v>#VALUE!</v>
      </c>
      <c r="D21" s="51" t="str">
        <f>COUNTIFS(#REF!,$A21,'3_Master_Benchmark'!$B$5:$B$46,D$16)</f>
        <v>#VALUE!</v>
      </c>
      <c r="E21" s="51" t="str">
        <f>COUNTIFS(#REF!,$A21,'3_Master_Benchmark'!$B$5:$B$46,E$16)</f>
        <v>#VALUE!</v>
      </c>
      <c r="F21" s="51" t="str">
        <f>COUNTIFS(#REF!,$A21,'3_Master_Benchmark'!$B$5:$B$46,F$16)</f>
        <v>#VALUE!</v>
      </c>
      <c r="G21" s="51" t="str">
        <f>COUNTIFS(#REF!,$A21,'3_Master_Benchmark'!$B$5:$B$46,G$16)</f>
        <v>#VALUE!</v>
      </c>
      <c r="H21" s="51" t="str">
        <f>COUNTIFS(#REF!,$A21,'3_Master_Benchmark'!$B$5:$B$46,H$16)</f>
        <v>#VALUE!</v>
      </c>
      <c r="I21" s="51" t="str">
        <f>COUNTIFS(#REF!,$A21,'3_Master_Benchmark'!$B$5:$B$46,I$16)</f>
        <v>#VALUE!</v>
      </c>
    </row>
    <row r="22" ht="15.75" customHeight="1">
      <c r="A22" s="7" t="s">
        <v>56</v>
      </c>
      <c r="B22" s="51" t="str">
        <f>COUNTIFS(#REF!,$A22,'3_Master_Benchmark'!$B$5:$B$46,B$16)</f>
        <v>#VALUE!</v>
      </c>
      <c r="C22" s="51" t="str">
        <f>COUNTIFS(#REF!,$A22,'3_Master_Benchmark'!$B$5:$B$46,C$16)</f>
        <v>#VALUE!</v>
      </c>
      <c r="D22" s="51" t="str">
        <f>COUNTIFS(#REF!,$A22,'3_Master_Benchmark'!$B$5:$B$46,D$16)</f>
        <v>#VALUE!</v>
      </c>
      <c r="E22" s="51" t="str">
        <f>COUNTIFS(#REF!,$A22,'3_Master_Benchmark'!$B$5:$B$46,E$16)</f>
        <v>#VALUE!</v>
      </c>
      <c r="F22" s="51" t="str">
        <f>COUNTIFS(#REF!,$A22,'3_Master_Benchmark'!$B$5:$B$46,F$16)</f>
        <v>#VALUE!</v>
      </c>
      <c r="G22" s="51" t="str">
        <f>COUNTIFS(#REF!,$A22,'3_Master_Benchmark'!$B$5:$B$46,G$16)</f>
        <v>#VALUE!</v>
      </c>
      <c r="H22" s="51" t="str">
        <f>COUNTIFS(#REF!,$A22,'3_Master_Benchmark'!$B$5:$B$46,H$16)</f>
        <v>#VALUE!</v>
      </c>
      <c r="I22" s="51" t="str">
        <f>COUNTIFS(#REF!,$A22,'3_Master_Benchmark'!$B$5:$B$46,I$16)</f>
        <v>#VALUE!</v>
      </c>
    </row>
    <row r="23" ht="15.75" customHeight="1">
      <c r="A23" s="7" t="s">
        <v>60</v>
      </c>
      <c r="B23" s="51" t="str">
        <f>COUNTIFS(#REF!,$A23,'3_Master_Benchmark'!$B$5:$B$46,B$16)</f>
        <v>#VALUE!</v>
      </c>
      <c r="C23" s="51" t="str">
        <f>COUNTIFS(#REF!,$A23,'3_Master_Benchmark'!$B$5:$B$46,C$16)</f>
        <v>#VALUE!</v>
      </c>
      <c r="D23" s="51" t="str">
        <f>COUNTIFS(#REF!,$A23,'3_Master_Benchmark'!$B$5:$B$46,D$16)</f>
        <v>#VALUE!</v>
      </c>
      <c r="E23" s="51" t="str">
        <f>COUNTIFS(#REF!,$A23,'3_Master_Benchmark'!$B$5:$B$46,E$16)</f>
        <v>#VALUE!</v>
      </c>
      <c r="F23" s="51" t="str">
        <f>COUNTIFS(#REF!,$A23,'3_Master_Benchmark'!$B$5:$B$46,F$16)</f>
        <v>#VALUE!</v>
      </c>
      <c r="G23" s="51" t="str">
        <f>COUNTIFS(#REF!,$A23,'3_Master_Benchmark'!$B$5:$B$46,G$16)</f>
        <v>#VALUE!</v>
      </c>
      <c r="H23" s="51" t="str">
        <f>COUNTIFS(#REF!,$A23,'3_Master_Benchmark'!$B$5:$B$46,H$16)</f>
        <v>#VALUE!</v>
      </c>
      <c r="I23" s="51" t="str">
        <f>COUNTIFS(#REF!,$A23,'3_Master_Benchmark'!$B$5:$B$46,I$16)</f>
        <v>#VALUE!</v>
      </c>
    </row>
    <row r="24" ht="15.75" customHeight="1">
      <c r="A24" s="7" t="s">
        <v>66</v>
      </c>
      <c r="B24" s="51" t="str">
        <f>COUNTIFS(#REF!,$A24,'3_Master_Benchmark'!$B$5:$B$46,B$16)</f>
        <v>#VALUE!</v>
      </c>
      <c r="C24" s="51" t="str">
        <f>COUNTIFS(#REF!,$A24,'3_Master_Benchmark'!$B$5:$B$46,C$16)</f>
        <v>#VALUE!</v>
      </c>
      <c r="D24" s="51" t="str">
        <f>COUNTIFS(#REF!,$A24,'3_Master_Benchmark'!$B$5:$B$46,D$16)</f>
        <v>#VALUE!</v>
      </c>
      <c r="E24" s="51" t="str">
        <f>COUNTIFS(#REF!,$A24,'3_Master_Benchmark'!$B$5:$B$46,E$16)</f>
        <v>#VALUE!</v>
      </c>
      <c r="F24" s="51" t="str">
        <f>COUNTIFS(#REF!,$A24,'3_Master_Benchmark'!$B$5:$B$46,F$16)</f>
        <v>#VALUE!</v>
      </c>
      <c r="G24" s="51" t="str">
        <f>COUNTIFS(#REF!,$A24,'3_Master_Benchmark'!$B$5:$B$46,G$16)</f>
        <v>#VALUE!</v>
      </c>
      <c r="H24" s="51" t="str">
        <f>COUNTIFS(#REF!,$A24,'3_Master_Benchmark'!$B$5:$B$46,H$16)</f>
        <v>#VALUE!</v>
      </c>
      <c r="I24" s="51" t="str">
        <f>COUNTIFS(#REF!,$A24,'3_Master_Benchmark'!$B$5:$B$46,I$16)</f>
        <v>#VALUE!</v>
      </c>
    </row>
    <row r="25" ht="15.75" customHeight="1">
      <c r="A25" s="7" t="s">
        <v>72</v>
      </c>
      <c r="B25" s="51" t="str">
        <f>COUNTIFS(#REF!,$A25,'3_Master_Benchmark'!$B$5:$B$46,B$16)</f>
        <v>#VALUE!</v>
      </c>
      <c r="C25" s="51" t="str">
        <f>COUNTIFS(#REF!,$A25,'3_Master_Benchmark'!$B$5:$B$46,C$16)</f>
        <v>#VALUE!</v>
      </c>
      <c r="D25" s="51" t="str">
        <f>COUNTIFS(#REF!,$A25,'3_Master_Benchmark'!$B$5:$B$46,D$16)</f>
        <v>#VALUE!</v>
      </c>
      <c r="E25" s="51" t="str">
        <f>COUNTIFS(#REF!,$A25,'3_Master_Benchmark'!$B$5:$B$46,E$16)</f>
        <v>#VALUE!</v>
      </c>
      <c r="F25" s="51" t="str">
        <f>COUNTIFS(#REF!,$A25,'3_Master_Benchmark'!$B$5:$B$46,F$16)</f>
        <v>#VALUE!</v>
      </c>
      <c r="G25" s="51" t="str">
        <f>COUNTIFS(#REF!,$A25,'3_Master_Benchmark'!$B$5:$B$46,G$16)</f>
        <v>#VALUE!</v>
      </c>
      <c r="H25" s="51" t="str">
        <f>COUNTIFS(#REF!,$A25,'3_Master_Benchmark'!$B$5:$B$46,H$16)</f>
        <v>#VALUE!</v>
      </c>
      <c r="I25" s="51" t="str">
        <f>COUNTIFS(#REF!,$A25,'3_Master_Benchmark'!$B$5:$B$46,I$16)</f>
        <v>#VALUE!</v>
      </c>
    </row>
    <row r="26" ht="15.75" customHeight="1">
      <c r="A26" s="7" t="s">
        <v>76</v>
      </c>
      <c r="B26" s="51" t="str">
        <f>COUNTIFS(#REF!,$A26,'3_Master_Benchmark'!$B$5:$B$46,B$16)</f>
        <v>#VALUE!</v>
      </c>
      <c r="C26" s="51" t="str">
        <f>COUNTIFS(#REF!,$A26,'3_Master_Benchmark'!$B$5:$B$46,C$16)</f>
        <v>#VALUE!</v>
      </c>
      <c r="D26" s="51" t="str">
        <f>COUNTIFS(#REF!,$A26,'3_Master_Benchmark'!$B$5:$B$46,D$16)</f>
        <v>#VALUE!</v>
      </c>
      <c r="E26" s="51" t="str">
        <f>COUNTIFS(#REF!,$A26,'3_Master_Benchmark'!$B$5:$B$46,E$16)</f>
        <v>#VALUE!</v>
      </c>
      <c r="F26" s="51" t="str">
        <f>COUNTIFS(#REF!,$A26,'3_Master_Benchmark'!$B$5:$B$46,F$16)</f>
        <v>#VALUE!</v>
      </c>
      <c r="G26" s="51" t="str">
        <f>COUNTIFS(#REF!,$A26,'3_Master_Benchmark'!$B$5:$B$46,G$16)</f>
        <v>#VALUE!</v>
      </c>
      <c r="H26" s="51" t="str">
        <f>COUNTIFS(#REF!,$A26,'3_Master_Benchmark'!$B$5:$B$46,H$16)</f>
        <v>#VALUE!</v>
      </c>
      <c r="I26" s="51" t="str">
        <f>COUNTIFS(#REF!,$A26,'3_Master_Benchmark'!$B$5:$B$46,I$16)</f>
        <v>#VALUE!</v>
      </c>
    </row>
    <row r="27" ht="15.75" customHeight="1">
      <c r="A27" s="7" t="s">
        <v>80</v>
      </c>
      <c r="B27" s="51" t="str">
        <f>COUNTIFS(#REF!,$A27,'3_Master_Benchmark'!$B$5:$B$46,B$16)</f>
        <v>#VALUE!</v>
      </c>
      <c r="C27" s="51" t="str">
        <f>COUNTIFS(#REF!,$A27,'3_Master_Benchmark'!$B$5:$B$46,C$16)</f>
        <v>#VALUE!</v>
      </c>
      <c r="D27" s="51" t="str">
        <f>COUNTIFS(#REF!,$A27,'3_Master_Benchmark'!$B$5:$B$46,D$16)</f>
        <v>#VALUE!</v>
      </c>
      <c r="E27" s="51" t="str">
        <f>COUNTIFS(#REF!,$A27,'3_Master_Benchmark'!$B$5:$B$46,E$16)</f>
        <v>#VALUE!</v>
      </c>
      <c r="F27" s="51" t="str">
        <f>COUNTIFS(#REF!,$A27,'3_Master_Benchmark'!$B$5:$B$46,F$16)</f>
        <v>#VALUE!</v>
      </c>
      <c r="G27" s="51" t="str">
        <f>COUNTIFS(#REF!,$A27,'3_Master_Benchmark'!$B$5:$B$46,G$16)</f>
        <v>#VALUE!</v>
      </c>
      <c r="H27" s="51" t="str">
        <f>COUNTIFS(#REF!,$A27,'3_Master_Benchmark'!$B$5:$B$46,H$16)</f>
        <v>#VALUE!</v>
      </c>
      <c r="I27" s="51" t="str">
        <f>COUNTIFS(#REF!,$A27,'3_Master_Benchmark'!$B$5:$B$46,I$16)</f>
        <v>#VALUE!</v>
      </c>
    </row>
    <row r="28" ht="15.75" customHeight="1">
      <c r="A28" s="7" t="s">
        <v>83</v>
      </c>
      <c r="B28" s="51" t="str">
        <f>COUNTIFS(#REF!,$A28,'3_Master_Benchmark'!$B$5:$B$46,B$16)</f>
        <v>#VALUE!</v>
      </c>
      <c r="C28" s="51" t="str">
        <f>COUNTIFS(#REF!,$A28,'3_Master_Benchmark'!$B$5:$B$46,C$16)</f>
        <v>#VALUE!</v>
      </c>
      <c r="D28" s="51" t="str">
        <f>COUNTIFS(#REF!,$A28,'3_Master_Benchmark'!$B$5:$B$46,D$16)</f>
        <v>#VALUE!</v>
      </c>
      <c r="E28" s="51" t="str">
        <f>COUNTIFS(#REF!,$A28,'3_Master_Benchmark'!$B$5:$B$46,E$16)</f>
        <v>#VALUE!</v>
      </c>
      <c r="F28" s="51" t="str">
        <f>COUNTIFS(#REF!,$A28,'3_Master_Benchmark'!$B$5:$B$46,F$16)</f>
        <v>#VALUE!</v>
      </c>
      <c r="G28" s="51" t="str">
        <f>COUNTIFS(#REF!,$A28,'3_Master_Benchmark'!$B$5:$B$46,G$16)</f>
        <v>#VALUE!</v>
      </c>
      <c r="H28" s="51" t="str">
        <f>COUNTIFS(#REF!,$A28,'3_Master_Benchmark'!$B$5:$B$46,H$16)</f>
        <v>#VALUE!</v>
      </c>
      <c r="I28" s="51" t="str">
        <f>COUNTIFS(#REF!,$A28,'3_Master_Benchmark'!$B$5:$B$46,I$16)</f>
        <v>#VALUE!</v>
      </c>
    </row>
    <row r="29" ht="15.75" customHeight="1">
      <c r="A29" s="7" t="s">
        <v>85</v>
      </c>
      <c r="B29" s="51" t="str">
        <f>COUNTIFS(#REF!,$A29,'3_Master_Benchmark'!$B$5:$B$46,B$16)</f>
        <v>#VALUE!</v>
      </c>
      <c r="C29" s="51" t="str">
        <f>COUNTIFS(#REF!,$A29,'3_Master_Benchmark'!$B$5:$B$46,C$16)</f>
        <v>#VALUE!</v>
      </c>
      <c r="D29" s="51" t="str">
        <f>COUNTIFS(#REF!,$A29,'3_Master_Benchmark'!$B$5:$B$46,D$16)</f>
        <v>#VALUE!</v>
      </c>
      <c r="E29" s="51" t="str">
        <f>COUNTIFS(#REF!,$A29,'3_Master_Benchmark'!$B$5:$B$46,E$16)</f>
        <v>#VALUE!</v>
      </c>
      <c r="F29" s="51" t="str">
        <f>COUNTIFS(#REF!,$A29,'3_Master_Benchmark'!$B$5:$B$46,F$16)</f>
        <v>#VALUE!</v>
      </c>
      <c r="G29" s="51" t="str">
        <f>COUNTIFS(#REF!,$A29,'3_Master_Benchmark'!$B$5:$B$46,G$16)</f>
        <v>#VALUE!</v>
      </c>
      <c r="H29" s="51" t="str">
        <f>COUNTIFS(#REF!,$A29,'3_Master_Benchmark'!$B$5:$B$46,H$16)</f>
        <v>#VALUE!</v>
      </c>
      <c r="I29" s="51" t="str">
        <f>COUNTIFS(#REF!,$A29,'3_Master_Benchmark'!$B$5:$B$46,I$16)</f>
        <v>#VALUE!</v>
      </c>
    </row>
    <row r="30" ht="15.75" customHeight="1"/>
    <row r="31" ht="15.75" customHeight="1"/>
    <row r="32" ht="15.75" customHeight="1">
      <c r="A32" s="1" t="s">
        <v>354</v>
      </c>
    </row>
    <row r="33" ht="15.75" customHeight="1">
      <c r="A33" s="6" t="s">
        <v>355</v>
      </c>
    </row>
    <row r="34" ht="15.75" customHeight="1">
      <c r="A34" s="4" t="s">
        <v>5</v>
      </c>
      <c r="B34" s="50" t="s">
        <v>23</v>
      </c>
      <c r="C34" s="50" t="s">
        <v>33</v>
      </c>
      <c r="D34" s="4" t="s">
        <v>43</v>
      </c>
      <c r="E34" s="4" t="s">
        <v>50</v>
      </c>
      <c r="F34" s="4" t="s">
        <v>54</v>
      </c>
      <c r="G34" s="4" t="s">
        <v>58</v>
      </c>
      <c r="H34" s="4" t="s">
        <v>63</v>
      </c>
      <c r="I34" s="4" t="s">
        <v>74</v>
      </c>
    </row>
    <row r="35" ht="15.75" customHeight="1">
      <c r="A35" s="7" t="s">
        <v>20</v>
      </c>
      <c r="B35" s="45" t="str">
        <f>IFERROR(AVERAGEIFS('3_Master_Benchmark'!$P$5:$P$46,#REF!,$A35,'3_Master_Benchmark'!$B$5:$B$46,B$34),"")</f>
        <v/>
      </c>
      <c r="C35" s="45" t="str">
        <f>IFERROR(AVERAGEIFS('3_Master_Benchmark'!$P$5:$P$46,#REF!,$A35,'3_Master_Benchmark'!$B$5:$B$46,C$34),"")</f>
        <v/>
      </c>
      <c r="D35" s="45" t="str">
        <f>IFERROR(AVERAGEIFS('3_Master_Benchmark'!$P$5:$P$46,#REF!,$A35,'3_Master_Benchmark'!$B$5:$B$46,D$34),"")</f>
        <v/>
      </c>
      <c r="E35" s="45" t="str">
        <f>IFERROR(AVERAGEIFS('3_Master_Benchmark'!$P$5:$P$46,#REF!,$A35,'3_Master_Benchmark'!$B$5:$B$46,E$34),"")</f>
        <v/>
      </c>
      <c r="F35" s="45" t="str">
        <f>IFERROR(AVERAGEIFS('3_Master_Benchmark'!$P$5:$P$46,#REF!,$A35,'3_Master_Benchmark'!$B$5:$B$46,F$34),"")</f>
        <v/>
      </c>
      <c r="G35" s="45" t="str">
        <f>IFERROR(AVERAGEIFS('3_Master_Benchmark'!$P$5:$P$46,#REF!,$A35,'3_Master_Benchmark'!$B$5:$B$46,G$34),"")</f>
        <v/>
      </c>
      <c r="H35" s="45" t="str">
        <f>IFERROR(AVERAGEIFS('3_Master_Benchmark'!$P$5:$P$46,#REF!,$A35,'3_Master_Benchmark'!$B$5:$B$46,H$34),"")</f>
        <v/>
      </c>
      <c r="I35" s="45" t="str">
        <f>IFERROR(AVERAGEIFS('3_Master_Benchmark'!$P$5:$P$46,#REF!,$A35,'3_Master_Benchmark'!$B$5:$B$46,I$34),"")</f>
        <v/>
      </c>
    </row>
    <row r="36" ht="15.75" customHeight="1">
      <c r="A36" s="7" t="s">
        <v>28</v>
      </c>
      <c r="B36" s="45" t="str">
        <f>IFERROR(AVERAGEIFS('3_Master_Benchmark'!$P$5:$P$46,#REF!,$A36,'3_Master_Benchmark'!$B$5:$B$46,B$34),"")</f>
        <v/>
      </c>
      <c r="C36" s="45" t="str">
        <f>IFERROR(AVERAGEIFS('3_Master_Benchmark'!$P$5:$P$46,#REF!,$A36,'3_Master_Benchmark'!$B$5:$B$46,C$34),"")</f>
        <v/>
      </c>
      <c r="D36" s="45" t="str">
        <f>IFERROR(AVERAGEIFS('3_Master_Benchmark'!$P$5:$P$46,#REF!,$A36,'3_Master_Benchmark'!$B$5:$B$46,D$34),"")</f>
        <v/>
      </c>
      <c r="E36" s="45" t="str">
        <f>IFERROR(AVERAGEIFS('3_Master_Benchmark'!$P$5:$P$46,#REF!,$A36,'3_Master_Benchmark'!$B$5:$B$46,E$34),"")</f>
        <v/>
      </c>
      <c r="F36" s="45" t="str">
        <f>IFERROR(AVERAGEIFS('3_Master_Benchmark'!$P$5:$P$46,#REF!,$A36,'3_Master_Benchmark'!$B$5:$B$46,F$34),"")</f>
        <v/>
      </c>
      <c r="G36" s="45" t="str">
        <f>IFERROR(AVERAGEIFS('3_Master_Benchmark'!$P$5:$P$46,#REF!,$A36,'3_Master_Benchmark'!$B$5:$B$46,G$34),"")</f>
        <v/>
      </c>
      <c r="H36" s="45" t="str">
        <f>IFERROR(AVERAGEIFS('3_Master_Benchmark'!$P$5:$P$46,#REF!,$A36,'3_Master_Benchmark'!$B$5:$B$46,H$34),"")</f>
        <v/>
      </c>
      <c r="I36" s="45" t="str">
        <f>IFERROR(AVERAGEIFS('3_Master_Benchmark'!$P$5:$P$46,#REF!,$A36,'3_Master_Benchmark'!$B$5:$B$46,I$34),"")</f>
        <v/>
      </c>
    </row>
    <row r="37" ht="15.75" customHeight="1">
      <c r="A37" s="7" t="s">
        <v>41</v>
      </c>
      <c r="B37" s="45" t="str">
        <f>IFERROR(AVERAGEIFS('3_Master_Benchmark'!$P$5:$P$46,#REF!,$A37,'3_Master_Benchmark'!$B$5:$B$46,B$34),"")</f>
        <v/>
      </c>
      <c r="C37" s="45" t="str">
        <f>IFERROR(AVERAGEIFS('3_Master_Benchmark'!$P$5:$P$46,#REF!,$A37,'3_Master_Benchmark'!$B$5:$B$46,C$34),"")</f>
        <v/>
      </c>
      <c r="D37" s="45" t="str">
        <f>IFERROR(AVERAGEIFS('3_Master_Benchmark'!$P$5:$P$46,#REF!,$A37,'3_Master_Benchmark'!$B$5:$B$46,D$34),"")</f>
        <v/>
      </c>
      <c r="E37" s="45" t="str">
        <f>IFERROR(AVERAGEIFS('3_Master_Benchmark'!$P$5:$P$46,#REF!,$A37,'3_Master_Benchmark'!$B$5:$B$46,E$34),"")</f>
        <v/>
      </c>
      <c r="F37" s="45" t="str">
        <f>IFERROR(AVERAGEIFS('3_Master_Benchmark'!$P$5:$P$46,#REF!,$A37,'3_Master_Benchmark'!$B$5:$B$46,F$34),"")</f>
        <v/>
      </c>
      <c r="G37" s="45" t="str">
        <f>IFERROR(AVERAGEIFS('3_Master_Benchmark'!$P$5:$P$46,#REF!,$A37,'3_Master_Benchmark'!$B$5:$B$46,G$34),"")</f>
        <v/>
      </c>
      <c r="H37" s="45" t="str">
        <f>IFERROR(AVERAGEIFS('3_Master_Benchmark'!$P$5:$P$46,#REF!,$A37,'3_Master_Benchmark'!$B$5:$B$46,H$34),"")</f>
        <v/>
      </c>
      <c r="I37" s="45" t="str">
        <f>IFERROR(AVERAGEIFS('3_Master_Benchmark'!$P$5:$P$46,#REF!,$A37,'3_Master_Benchmark'!$B$5:$B$46,I$34),"")</f>
        <v/>
      </c>
    </row>
    <row r="38" ht="15.75" customHeight="1">
      <c r="A38" s="7" t="s">
        <v>48</v>
      </c>
      <c r="B38" s="45" t="str">
        <f>IFERROR(AVERAGEIFS('3_Master_Benchmark'!$P$5:$P$46,#REF!,$A38,'3_Master_Benchmark'!$B$5:$B$46,B$34),"")</f>
        <v/>
      </c>
      <c r="C38" s="45" t="str">
        <f>IFERROR(AVERAGEIFS('3_Master_Benchmark'!$P$5:$P$46,#REF!,$A38,'3_Master_Benchmark'!$B$5:$B$46,C$34),"")</f>
        <v/>
      </c>
      <c r="D38" s="45" t="str">
        <f>IFERROR(AVERAGEIFS('3_Master_Benchmark'!$P$5:$P$46,#REF!,$A38,'3_Master_Benchmark'!$B$5:$B$46,D$34),"")</f>
        <v/>
      </c>
      <c r="E38" s="45" t="str">
        <f>IFERROR(AVERAGEIFS('3_Master_Benchmark'!$P$5:$P$46,#REF!,$A38,'3_Master_Benchmark'!$B$5:$B$46,E$34),"")</f>
        <v/>
      </c>
      <c r="F38" s="45" t="str">
        <f>IFERROR(AVERAGEIFS('3_Master_Benchmark'!$P$5:$P$46,#REF!,$A38,'3_Master_Benchmark'!$B$5:$B$46,F$34),"")</f>
        <v/>
      </c>
      <c r="G38" s="45" t="str">
        <f>IFERROR(AVERAGEIFS('3_Master_Benchmark'!$P$5:$P$46,#REF!,$A38,'3_Master_Benchmark'!$B$5:$B$46,G$34),"")</f>
        <v/>
      </c>
      <c r="H38" s="45" t="str">
        <f>IFERROR(AVERAGEIFS('3_Master_Benchmark'!$P$5:$P$46,#REF!,$A38,'3_Master_Benchmark'!$B$5:$B$46,H$34),"")</f>
        <v/>
      </c>
      <c r="I38" s="45" t="str">
        <f>IFERROR(AVERAGEIFS('3_Master_Benchmark'!$P$5:$P$46,#REF!,$A38,'3_Master_Benchmark'!$B$5:$B$46,I$34),"")</f>
        <v/>
      </c>
    </row>
    <row r="39" ht="15.75" customHeight="1">
      <c r="A39" s="7" t="s">
        <v>53</v>
      </c>
      <c r="B39" s="45" t="str">
        <f>IFERROR(AVERAGEIFS('3_Master_Benchmark'!$P$5:$P$46,#REF!,$A39,'3_Master_Benchmark'!$B$5:$B$46,B$34),"")</f>
        <v/>
      </c>
      <c r="C39" s="45" t="str">
        <f>IFERROR(AVERAGEIFS('3_Master_Benchmark'!$P$5:$P$46,#REF!,$A39,'3_Master_Benchmark'!$B$5:$B$46,C$34),"")</f>
        <v/>
      </c>
      <c r="D39" s="45" t="str">
        <f>IFERROR(AVERAGEIFS('3_Master_Benchmark'!$P$5:$P$46,#REF!,$A39,'3_Master_Benchmark'!$B$5:$B$46,D$34),"")</f>
        <v/>
      </c>
      <c r="E39" s="45" t="str">
        <f>IFERROR(AVERAGEIFS('3_Master_Benchmark'!$P$5:$P$46,#REF!,$A39,'3_Master_Benchmark'!$B$5:$B$46,E$34),"")</f>
        <v/>
      </c>
      <c r="F39" s="45" t="str">
        <f>IFERROR(AVERAGEIFS('3_Master_Benchmark'!$P$5:$P$46,#REF!,$A39,'3_Master_Benchmark'!$B$5:$B$46,F$34),"")</f>
        <v/>
      </c>
      <c r="G39" s="45" t="str">
        <f>IFERROR(AVERAGEIFS('3_Master_Benchmark'!$P$5:$P$46,#REF!,$A39,'3_Master_Benchmark'!$B$5:$B$46,G$34),"")</f>
        <v/>
      </c>
      <c r="H39" s="45" t="str">
        <f>IFERROR(AVERAGEIFS('3_Master_Benchmark'!$P$5:$P$46,#REF!,$A39,'3_Master_Benchmark'!$B$5:$B$46,H$34),"")</f>
        <v/>
      </c>
      <c r="I39" s="45" t="str">
        <f>IFERROR(AVERAGEIFS('3_Master_Benchmark'!$P$5:$P$46,#REF!,$A39,'3_Master_Benchmark'!$B$5:$B$46,I$34),"")</f>
        <v/>
      </c>
    </row>
    <row r="40" ht="15.75" customHeight="1">
      <c r="A40" s="7" t="s">
        <v>56</v>
      </c>
      <c r="B40" s="45" t="str">
        <f>IFERROR(AVERAGEIFS('3_Master_Benchmark'!$P$5:$P$46,#REF!,$A40,'3_Master_Benchmark'!$B$5:$B$46,B$34),"")</f>
        <v/>
      </c>
      <c r="C40" s="45" t="str">
        <f>IFERROR(AVERAGEIFS('3_Master_Benchmark'!$P$5:$P$46,#REF!,$A40,'3_Master_Benchmark'!$B$5:$B$46,C$34),"")</f>
        <v/>
      </c>
      <c r="D40" s="45" t="str">
        <f>IFERROR(AVERAGEIFS('3_Master_Benchmark'!$P$5:$P$46,#REF!,$A40,'3_Master_Benchmark'!$B$5:$B$46,D$34),"")</f>
        <v/>
      </c>
      <c r="E40" s="45" t="str">
        <f>IFERROR(AVERAGEIFS('3_Master_Benchmark'!$P$5:$P$46,#REF!,$A40,'3_Master_Benchmark'!$B$5:$B$46,E$34),"")</f>
        <v/>
      </c>
      <c r="F40" s="45" t="str">
        <f>IFERROR(AVERAGEIFS('3_Master_Benchmark'!$P$5:$P$46,#REF!,$A40,'3_Master_Benchmark'!$B$5:$B$46,F$34),"")</f>
        <v/>
      </c>
      <c r="G40" s="45" t="str">
        <f>IFERROR(AVERAGEIFS('3_Master_Benchmark'!$P$5:$P$46,#REF!,$A40,'3_Master_Benchmark'!$B$5:$B$46,G$34),"")</f>
        <v/>
      </c>
      <c r="H40" s="45" t="str">
        <f>IFERROR(AVERAGEIFS('3_Master_Benchmark'!$P$5:$P$46,#REF!,$A40,'3_Master_Benchmark'!$B$5:$B$46,H$34),"")</f>
        <v/>
      </c>
      <c r="I40" s="45" t="str">
        <f>IFERROR(AVERAGEIFS('3_Master_Benchmark'!$P$5:$P$46,#REF!,$A40,'3_Master_Benchmark'!$B$5:$B$46,I$34),"")</f>
        <v/>
      </c>
    </row>
    <row r="41" ht="15.75" customHeight="1">
      <c r="A41" s="7" t="s">
        <v>60</v>
      </c>
      <c r="B41" s="45" t="str">
        <f>IFERROR(AVERAGEIFS('3_Master_Benchmark'!$P$5:$P$46,#REF!,$A41,'3_Master_Benchmark'!$B$5:$B$46,B$34),"")</f>
        <v/>
      </c>
      <c r="C41" s="45" t="str">
        <f>IFERROR(AVERAGEIFS('3_Master_Benchmark'!$P$5:$P$46,#REF!,$A41,'3_Master_Benchmark'!$B$5:$B$46,C$34),"")</f>
        <v/>
      </c>
      <c r="D41" s="45" t="str">
        <f>IFERROR(AVERAGEIFS('3_Master_Benchmark'!$P$5:$P$46,#REF!,$A41,'3_Master_Benchmark'!$B$5:$B$46,D$34),"")</f>
        <v/>
      </c>
      <c r="E41" s="45" t="str">
        <f>IFERROR(AVERAGEIFS('3_Master_Benchmark'!$P$5:$P$46,#REF!,$A41,'3_Master_Benchmark'!$B$5:$B$46,E$34),"")</f>
        <v/>
      </c>
      <c r="F41" s="45" t="str">
        <f>IFERROR(AVERAGEIFS('3_Master_Benchmark'!$P$5:$P$46,#REF!,$A41,'3_Master_Benchmark'!$B$5:$B$46,F$34),"")</f>
        <v/>
      </c>
      <c r="G41" s="45" t="str">
        <f>IFERROR(AVERAGEIFS('3_Master_Benchmark'!$P$5:$P$46,#REF!,$A41,'3_Master_Benchmark'!$B$5:$B$46,G$34),"")</f>
        <v/>
      </c>
      <c r="H41" s="45" t="str">
        <f>IFERROR(AVERAGEIFS('3_Master_Benchmark'!$P$5:$P$46,#REF!,$A41,'3_Master_Benchmark'!$B$5:$B$46,H$34),"")</f>
        <v/>
      </c>
      <c r="I41" s="45" t="str">
        <f>IFERROR(AVERAGEIFS('3_Master_Benchmark'!$P$5:$P$46,#REF!,$A41,'3_Master_Benchmark'!$B$5:$B$46,I$34),"")</f>
        <v/>
      </c>
    </row>
    <row r="42" ht="15.75" customHeight="1">
      <c r="A42" s="7" t="s">
        <v>66</v>
      </c>
      <c r="B42" s="45" t="str">
        <f>IFERROR(AVERAGEIFS('3_Master_Benchmark'!$P$5:$P$46,#REF!,$A42,'3_Master_Benchmark'!$B$5:$B$46,B$34),"")</f>
        <v/>
      </c>
      <c r="C42" s="45" t="str">
        <f>IFERROR(AVERAGEIFS('3_Master_Benchmark'!$P$5:$P$46,#REF!,$A42,'3_Master_Benchmark'!$B$5:$B$46,C$34),"")</f>
        <v/>
      </c>
      <c r="D42" s="45" t="str">
        <f>IFERROR(AVERAGEIFS('3_Master_Benchmark'!$P$5:$P$46,#REF!,$A42,'3_Master_Benchmark'!$B$5:$B$46,D$34),"")</f>
        <v/>
      </c>
      <c r="E42" s="45" t="str">
        <f>IFERROR(AVERAGEIFS('3_Master_Benchmark'!$P$5:$P$46,#REF!,$A42,'3_Master_Benchmark'!$B$5:$B$46,E$34),"")</f>
        <v/>
      </c>
      <c r="F42" s="45" t="str">
        <f>IFERROR(AVERAGEIFS('3_Master_Benchmark'!$P$5:$P$46,#REF!,$A42,'3_Master_Benchmark'!$B$5:$B$46,F$34),"")</f>
        <v/>
      </c>
      <c r="G42" s="45" t="str">
        <f>IFERROR(AVERAGEIFS('3_Master_Benchmark'!$P$5:$P$46,#REF!,$A42,'3_Master_Benchmark'!$B$5:$B$46,G$34),"")</f>
        <v/>
      </c>
      <c r="H42" s="45" t="str">
        <f>IFERROR(AVERAGEIFS('3_Master_Benchmark'!$P$5:$P$46,#REF!,$A42,'3_Master_Benchmark'!$B$5:$B$46,H$34),"")</f>
        <v/>
      </c>
      <c r="I42" s="45" t="str">
        <f>IFERROR(AVERAGEIFS('3_Master_Benchmark'!$P$5:$P$46,#REF!,$A42,'3_Master_Benchmark'!$B$5:$B$46,I$34),"")</f>
        <v/>
      </c>
    </row>
    <row r="43" ht="15.75" customHeight="1">
      <c r="A43" s="7" t="s">
        <v>72</v>
      </c>
      <c r="B43" s="45" t="str">
        <f>IFERROR(AVERAGEIFS('3_Master_Benchmark'!$P$5:$P$46,#REF!,$A43,'3_Master_Benchmark'!$B$5:$B$46,B$34),"")</f>
        <v/>
      </c>
      <c r="C43" s="45" t="str">
        <f>IFERROR(AVERAGEIFS('3_Master_Benchmark'!$P$5:$P$46,#REF!,$A43,'3_Master_Benchmark'!$B$5:$B$46,C$34),"")</f>
        <v/>
      </c>
      <c r="D43" s="45" t="str">
        <f>IFERROR(AVERAGEIFS('3_Master_Benchmark'!$P$5:$P$46,#REF!,$A43,'3_Master_Benchmark'!$B$5:$B$46,D$34),"")</f>
        <v/>
      </c>
      <c r="E43" s="45" t="str">
        <f>IFERROR(AVERAGEIFS('3_Master_Benchmark'!$P$5:$P$46,#REF!,$A43,'3_Master_Benchmark'!$B$5:$B$46,E$34),"")</f>
        <v/>
      </c>
      <c r="F43" s="45" t="str">
        <f>IFERROR(AVERAGEIFS('3_Master_Benchmark'!$P$5:$P$46,#REF!,$A43,'3_Master_Benchmark'!$B$5:$B$46,F$34),"")</f>
        <v/>
      </c>
      <c r="G43" s="45" t="str">
        <f>IFERROR(AVERAGEIFS('3_Master_Benchmark'!$P$5:$P$46,#REF!,$A43,'3_Master_Benchmark'!$B$5:$B$46,G$34),"")</f>
        <v/>
      </c>
      <c r="H43" s="45" t="str">
        <f>IFERROR(AVERAGEIFS('3_Master_Benchmark'!$P$5:$P$46,#REF!,$A43,'3_Master_Benchmark'!$B$5:$B$46,H$34),"")</f>
        <v/>
      </c>
      <c r="I43" s="45" t="str">
        <f>IFERROR(AVERAGEIFS('3_Master_Benchmark'!$P$5:$P$46,#REF!,$A43,'3_Master_Benchmark'!$B$5:$B$46,I$34),"")</f>
        <v/>
      </c>
    </row>
    <row r="44" ht="15.75" customHeight="1">
      <c r="A44" s="7" t="s">
        <v>76</v>
      </c>
      <c r="B44" s="45" t="str">
        <f>IFERROR(AVERAGEIFS('3_Master_Benchmark'!$P$5:$P$46,#REF!,$A44,'3_Master_Benchmark'!$B$5:$B$46,B$34),"")</f>
        <v/>
      </c>
      <c r="C44" s="45" t="str">
        <f>IFERROR(AVERAGEIFS('3_Master_Benchmark'!$P$5:$P$46,#REF!,$A44,'3_Master_Benchmark'!$B$5:$B$46,C$34),"")</f>
        <v/>
      </c>
      <c r="D44" s="45" t="str">
        <f>IFERROR(AVERAGEIFS('3_Master_Benchmark'!$P$5:$P$46,#REF!,$A44,'3_Master_Benchmark'!$B$5:$B$46,D$34),"")</f>
        <v/>
      </c>
      <c r="E44" s="45" t="str">
        <f>IFERROR(AVERAGEIFS('3_Master_Benchmark'!$P$5:$P$46,#REF!,$A44,'3_Master_Benchmark'!$B$5:$B$46,E$34),"")</f>
        <v/>
      </c>
      <c r="F44" s="45" t="str">
        <f>IFERROR(AVERAGEIFS('3_Master_Benchmark'!$P$5:$P$46,#REF!,$A44,'3_Master_Benchmark'!$B$5:$B$46,F$34),"")</f>
        <v/>
      </c>
      <c r="G44" s="45" t="str">
        <f>IFERROR(AVERAGEIFS('3_Master_Benchmark'!$P$5:$P$46,#REF!,$A44,'3_Master_Benchmark'!$B$5:$B$46,G$34),"")</f>
        <v/>
      </c>
      <c r="H44" s="45" t="str">
        <f>IFERROR(AVERAGEIFS('3_Master_Benchmark'!$P$5:$P$46,#REF!,$A44,'3_Master_Benchmark'!$B$5:$B$46,H$34),"")</f>
        <v/>
      </c>
      <c r="I44" s="45" t="str">
        <f>IFERROR(AVERAGEIFS('3_Master_Benchmark'!$P$5:$P$46,#REF!,$A44,'3_Master_Benchmark'!$B$5:$B$46,I$34),"")</f>
        <v/>
      </c>
    </row>
    <row r="45" ht="15.75" customHeight="1">
      <c r="A45" s="7" t="s">
        <v>80</v>
      </c>
      <c r="B45" s="45" t="str">
        <f>IFERROR(AVERAGEIFS('3_Master_Benchmark'!$P$5:$P$46,#REF!,$A45,'3_Master_Benchmark'!$B$5:$B$46,B$34),"")</f>
        <v/>
      </c>
      <c r="C45" s="45" t="str">
        <f>IFERROR(AVERAGEIFS('3_Master_Benchmark'!$P$5:$P$46,#REF!,$A45,'3_Master_Benchmark'!$B$5:$B$46,C$34),"")</f>
        <v/>
      </c>
      <c r="D45" s="45" t="str">
        <f>IFERROR(AVERAGEIFS('3_Master_Benchmark'!$P$5:$P$46,#REF!,$A45,'3_Master_Benchmark'!$B$5:$B$46,D$34),"")</f>
        <v/>
      </c>
      <c r="E45" s="45" t="str">
        <f>IFERROR(AVERAGEIFS('3_Master_Benchmark'!$P$5:$P$46,#REF!,$A45,'3_Master_Benchmark'!$B$5:$B$46,E$34),"")</f>
        <v/>
      </c>
      <c r="F45" s="45" t="str">
        <f>IFERROR(AVERAGEIFS('3_Master_Benchmark'!$P$5:$P$46,#REF!,$A45,'3_Master_Benchmark'!$B$5:$B$46,F$34),"")</f>
        <v/>
      </c>
      <c r="G45" s="45" t="str">
        <f>IFERROR(AVERAGEIFS('3_Master_Benchmark'!$P$5:$P$46,#REF!,$A45,'3_Master_Benchmark'!$B$5:$B$46,G$34),"")</f>
        <v/>
      </c>
      <c r="H45" s="45" t="str">
        <f>IFERROR(AVERAGEIFS('3_Master_Benchmark'!$P$5:$P$46,#REF!,$A45,'3_Master_Benchmark'!$B$5:$B$46,H$34),"")</f>
        <v/>
      </c>
      <c r="I45" s="45" t="str">
        <f>IFERROR(AVERAGEIFS('3_Master_Benchmark'!$P$5:$P$46,#REF!,$A45,'3_Master_Benchmark'!$B$5:$B$46,I$34),"")</f>
        <v/>
      </c>
    </row>
    <row r="46" ht="15.75" customHeight="1">
      <c r="A46" s="7" t="s">
        <v>83</v>
      </c>
      <c r="B46" s="45" t="str">
        <f>IFERROR(AVERAGEIFS('3_Master_Benchmark'!$P$5:$P$46,#REF!,$A46,'3_Master_Benchmark'!$B$5:$B$46,B$34),"")</f>
        <v/>
      </c>
      <c r="C46" s="45" t="str">
        <f>IFERROR(AVERAGEIFS('3_Master_Benchmark'!$P$5:$P$46,#REF!,$A46,'3_Master_Benchmark'!$B$5:$B$46,C$34),"")</f>
        <v/>
      </c>
      <c r="D46" s="45" t="str">
        <f>IFERROR(AVERAGEIFS('3_Master_Benchmark'!$P$5:$P$46,#REF!,$A46,'3_Master_Benchmark'!$B$5:$B$46,D$34),"")</f>
        <v/>
      </c>
      <c r="E46" s="45" t="str">
        <f>IFERROR(AVERAGEIFS('3_Master_Benchmark'!$P$5:$P$46,#REF!,$A46,'3_Master_Benchmark'!$B$5:$B$46,E$34),"")</f>
        <v/>
      </c>
      <c r="F46" s="45" t="str">
        <f>IFERROR(AVERAGEIFS('3_Master_Benchmark'!$P$5:$P$46,#REF!,$A46,'3_Master_Benchmark'!$B$5:$B$46,F$34),"")</f>
        <v/>
      </c>
      <c r="G46" s="45" t="str">
        <f>IFERROR(AVERAGEIFS('3_Master_Benchmark'!$P$5:$P$46,#REF!,$A46,'3_Master_Benchmark'!$B$5:$B$46,G$34),"")</f>
        <v/>
      </c>
      <c r="H46" s="45" t="str">
        <f>IFERROR(AVERAGEIFS('3_Master_Benchmark'!$P$5:$P$46,#REF!,$A46,'3_Master_Benchmark'!$B$5:$B$46,H$34),"")</f>
        <v/>
      </c>
      <c r="I46" s="45" t="str">
        <f>IFERROR(AVERAGEIFS('3_Master_Benchmark'!$P$5:$P$46,#REF!,$A46,'3_Master_Benchmark'!$B$5:$B$46,I$34),"")</f>
        <v/>
      </c>
    </row>
    <row r="47" ht="15.75" customHeight="1">
      <c r="A47" s="7" t="s">
        <v>85</v>
      </c>
      <c r="B47" s="45" t="str">
        <f>IFERROR(AVERAGEIFS('3_Master_Benchmark'!$P$5:$P$46,#REF!,$A47,'3_Master_Benchmark'!$B$5:$B$46,B$34),"")</f>
        <v/>
      </c>
      <c r="C47" s="45" t="str">
        <f>IFERROR(AVERAGEIFS('3_Master_Benchmark'!$P$5:$P$46,#REF!,$A47,'3_Master_Benchmark'!$B$5:$B$46,C$34),"")</f>
        <v/>
      </c>
      <c r="D47" s="45" t="str">
        <f>IFERROR(AVERAGEIFS('3_Master_Benchmark'!$P$5:$P$46,#REF!,$A47,'3_Master_Benchmark'!$B$5:$B$46,D$34),"")</f>
        <v/>
      </c>
      <c r="E47" s="45" t="str">
        <f>IFERROR(AVERAGEIFS('3_Master_Benchmark'!$P$5:$P$46,#REF!,$A47,'3_Master_Benchmark'!$B$5:$B$46,E$34),"")</f>
        <v/>
      </c>
      <c r="F47" s="45" t="str">
        <f>IFERROR(AVERAGEIFS('3_Master_Benchmark'!$P$5:$P$46,#REF!,$A47,'3_Master_Benchmark'!$B$5:$B$46,F$34),"")</f>
        <v/>
      </c>
      <c r="G47" s="45" t="str">
        <f>IFERROR(AVERAGEIFS('3_Master_Benchmark'!$P$5:$P$46,#REF!,$A47,'3_Master_Benchmark'!$B$5:$B$46,G$34),"")</f>
        <v/>
      </c>
      <c r="H47" s="45" t="str">
        <f>IFERROR(AVERAGEIFS('3_Master_Benchmark'!$P$5:$P$46,#REF!,$A47,'3_Master_Benchmark'!$B$5:$B$46,H$34),"")</f>
        <v/>
      </c>
      <c r="I47" s="45" t="str">
        <f>IFERROR(AVERAGEIFS('3_Master_Benchmark'!$P$5:$P$46,#REF!,$A47,'3_Master_Benchmark'!$B$5:$B$46,I$34),"")</f>
        <v/>
      </c>
    </row>
    <row r="48" ht="15.75" customHeight="1"/>
    <row r="49" ht="15.75" customHeight="1"/>
    <row r="50" ht="15.75" customHeight="1">
      <c r="A50" s="1" t="s">
        <v>356</v>
      </c>
    </row>
    <row r="51" ht="15.75" customHeight="1">
      <c r="A51" s="6" t="s">
        <v>357</v>
      </c>
    </row>
    <row r="52" ht="15.75" customHeight="1">
      <c r="A52" s="4" t="s">
        <v>3</v>
      </c>
      <c r="B52" s="50" t="s">
        <v>23</v>
      </c>
      <c r="C52" s="50" t="s">
        <v>33</v>
      </c>
      <c r="D52" s="4" t="s">
        <v>43</v>
      </c>
      <c r="E52" s="4" t="s">
        <v>50</v>
      </c>
      <c r="F52" s="4" t="s">
        <v>54</v>
      </c>
      <c r="G52" s="4" t="s">
        <v>58</v>
      </c>
      <c r="H52" s="4" t="s">
        <v>63</v>
      </c>
      <c r="I52" s="4" t="s">
        <v>74</v>
      </c>
    </row>
    <row r="53" ht="15.75" customHeight="1">
      <c r="A53" s="7" t="s">
        <v>15</v>
      </c>
      <c r="B53" s="47" t="str">
        <f>IFERROR(AVERAGEIFS(#REF!,'3_Master_Benchmark'!$E$5:$E$46,$A53,'3_Master_Benchmark'!$B$5:$B$46,B$52),"")</f>
        <v/>
      </c>
      <c r="C53" s="47" t="str">
        <f>IFERROR(AVERAGEIFS(#REF!,'3_Master_Benchmark'!$E$5:$E$46,$A53,'3_Master_Benchmark'!$B$5:$B$46,C$52),"")</f>
        <v/>
      </c>
      <c r="D53" s="47" t="str">
        <f>IFERROR(AVERAGEIFS(#REF!,'3_Master_Benchmark'!$E$5:$E$46,$A53,'3_Master_Benchmark'!$B$5:$B$46,D$52),"")</f>
        <v/>
      </c>
      <c r="E53" s="47" t="str">
        <f>IFERROR(AVERAGEIFS(#REF!,'3_Master_Benchmark'!$E$5:$E$46,$A53,'3_Master_Benchmark'!$B$5:$B$46,E$52),"")</f>
        <v/>
      </c>
      <c r="F53" s="47" t="str">
        <f>IFERROR(AVERAGEIFS(#REF!,'3_Master_Benchmark'!$E$5:$E$46,$A53,'3_Master_Benchmark'!$B$5:$B$46,F$52),"")</f>
        <v/>
      </c>
      <c r="G53" s="47" t="str">
        <f>IFERROR(AVERAGEIFS(#REF!,'3_Master_Benchmark'!$E$5:$E$46,$A53,'3_Master_Benchmark'!$B$5:$B$46,G$52),"")</f>
        <v/>
      </c>
      <c r="H53" s="47" t="str">
        <f>IFERROR(AVERAGEIFS(#REF!,'3_Master_Benchmark'!$E$5:$E$46,$A53,'3_Master_Benchmark'!$B$5:$B$46,H$52),"")</f>
        <v/>
      </c>
      <c r="I53" s="47" t="str">
        <f>IFERROR(AVERAGEIFS(#REF!,'3_Master_Benchmark'!$E$5:$E$46,$A53,'3_Master_Benchmark'!$B$5:$B$46,I$52),"")</f>
        <v/>
      </c>
    </row>
    <row r="54" ht="15.75" customHeight="1">
      <c r="A54" s="7" t="s">
        <v>26</v>
      </c>
      <c r="B54" s="47" t="str">
        <f>IFERROR(AVERAGEIFS(#REF!,'3_Master_Benchmark'!$E$5:$E$46,$A54,'3_Master_Benchmark'!$B$5:$B$46,B$52),"")</f>
        <v/>
      </c>
      <c r="C54" s="47" t="str">
        <f>IFERROR(AVERAGEIFS(#REF!,'3_Master_Benchmark'!$E$5:$E$46,$A54,'3_Master_Benchmark'!$B$5:$B$46,C$52),"")</f>
        <v/>
      </c>
      <c r="D54" s="47" t="str">
        <f>IFERROR(AVERAGEIFS(#REF!,'3_Master_Benchmark'!$E$5:$E$46,$A54,'3_Master_Benchmark'!$B$5:$B$46,D$52),"")</f>
        <v/>
      </c>
      <c r="E54" s="47" t="str">
        <f>IFERROR(AVERAGEIFS(#REF!,'3_Master_Benchmark'!$E$5:$E$46,$A54,'3_Master_Benchmark'!$B$5:$B$46,E$52),"")</f>
        <v/>
      </c>
      <c r="F54" s="47" t="str">
        <f>IFERROR(AVERAGEIFS(#REF!,'3_Master_Benchmark'!$E$5:$E$46,$A54,'3_Master_Benchmark'!$B$5:$B$46,F$52),"")</f>
        <v/>
      </c>
      <c r="G54" s="47" t="str">
        <f>IFERROR(AVERAGEIFS(#REF!,'3_Master_Benchmark'!$E$5:$E$46,$A54,'3_Master_Benchmark'!$B$5:$B$46,G$52),"")</f>
        <v/>
      </c>
      <c r="H54" s="47" t="str">
        <f>IFERROR(AVERAGEIFS(#REF!,'3_Master_Benchmark'!$E$5:$E$46,$A54,'3_Master_Benchmark'!$B$5:$B$46,H$52),"")</f>
        <v/>
      </c>
      <c r="I54" s="47" t="str">
        <f>IFERROR(AVERAGEIFS(#REF!,'3_Master_Benchmark'!$E$5:$E$46,$A54,'3_Master_Benchmark'!$B$5:$B$46,I$52),"")</f>
        <v/>
      </c>
    </row>
    <row r="55" ht="15.75" customHeight="1">
      <c r="A55" s="7" t="s">
        <v>37</v>
      </c>
      <c r="B55" s="47" t="str">
        <f>IFERROR(AVERAGEIFS(#REF!,'3_Master_Benchmark'!$E$5:$E$46,$A55,'3_Master_Benchmark'!$B$5:$B$46,B$52),"")</f>
        <v/>
      </c>
      <c r="C55" s="47" t="str">
        <f>IFERROR(AVERAGEIFS(#REF!,'3_Master_Benchmark'!$E$5:$E$46,$A55,'3_Master_Benchmark'!$B$5:$B$46,C$52),"")</f>
        <v/>
      </c>
      <c r="D55" s="47" t="str">
        <f>IFERROR(AVERAGEIFS(#REF!,'3_Master_Benchmark'!$E$5:$E$46,$A55,'3_Master_Benchmark'!$B$5:$B$46,D$52),"")</f>
        <v/>
      </c>
      <c r="E55" s="47" t="str">
        <f>IFERROR(AVERAGEIFS(#REF!,'3_Master_Benchmark'!$E$5:$E$46,$A55,'3_Master_Benchmark'!$B$5:$B$46,E$52),"")</f>
        <v/>
      </c>
      <c r="F55" s="47" t="str">
        <f>IFERROR(AVERAGEIFS(#REF!,'3_Master_Benchmark'!$E$5:$E$46,$A55,'3_Master_Benchmark'!$B$5:$B$46,F$52),"")</f>
        <v/>
      </c>
      <c r="G55" s="47" t="str">
        <f>IFERROR(AVERAGEIFS(#REF!,'3_Master_Benchmark'!$E$5:$E$46,$A55,'3_Master_Benchmark'!$B$5:$B$46,G$52),"")</f>
        <v/>
      </c>
      <c r="H55" s="47" t="str">
        <f>IFERROR(AVERAGEIFS(#REF!,'3_Master_Benchmark'!$E$5:$E$46,$A55,'3_Master_Benchmark'!$B$5:$B$46,H$52),"")</f>
        <v/>
      </c>
      <c r="I55" s="47" t="str">
        <f>IFERROR(AVERAGEIFS(#REF!,'3_Master_Benchmark'!$E$5:$E$46,$A55,'3_Master_Benchmark'!$B$5:$B$46,I$52),"")</f>
        <v/>
      </c>
    </row>
    <row r="56" ht="15.75" customHeight="1">
      <c r="A56" s="7" t="s">
        <v>47</v>
      </c>
      <c r="B56" s="47" t="str">
        <f>IFERROR(AVERAGEIFS(#REF!,'3_Master_Benchmark'!$E$5:$E$46,$A56,'3_Master_Benchmark'!$B$5:$B$46,B$52),"")</f>
        <v/>
      </c>
      <c r="C56" s="47" t="str">
        <f>IFERROR(AVERAGEIFS(#REF!,'3_Master_Benchmark'!$E$5:$E$46,$A56,'3_Master_Benchmark'!$B$5:$B$46,C$52),"")</f>
        <v/>
      </c>
      <c r="D56" s="47" t="str">
        <f>IFERROR(AVERAGEIFS(#REF!,'3_Master_Benchmark'!$E$5:$E$46,$A56,'3_Master_Benchmark'!$B$5:$B$46,D$52),"")</f>
        <v/>
      </c>
      <c r="E56" s="47" t="str">
        <f>IFERROR(AVERAGEIFS(#REF!,'3_Master_Benchmark'!$E$5:$E$46,$A56,'3_Master_Benchmark'!$B$5:$B$46,E$52),"")</f>
        <v/>
      </c>
      <c r="F56" s="47" t="str">
        <f>IFERROR(AVERAGEIFS(#REF!,'3_Master_Benchmark'!$E$5:$E$46,$A56,'3_Master_Benchmark'!$B$5:$B$46,F$52),"")</f>
        <v/>
      </c>
      <c r="G56" s="47" t="str">
        <f>IFERROR(AVERAGEIFS(#REF!,'3_Master_Benchmark'!$E$5:$E$46,$A56,'3_Master_Benchmark'!$B$5:$B$46,G$52),"")</f>
        <v/>
      </c>
      <c r="H56" s="47" t="str">
        <f>IFERROR(AVERAGEIFS(#REF!,'3_Master_Benchmark'!$E$5:$E$46,$A56,'3_Master_Benchmark'!$B$5:$B$46,H$52),"")</f>
        <v/>
      </c>
      <c r="I56" s="47" t="str">
        <f>IFERROR(AVERAGEIFS(#REF!,'3_Master_Benchmark'!$E$5:$E$46,$A56,'3_Master_Benchmark'!$B$5:$B$46,I$52),"")</f>
        <v/>
      </c>
    </row>
    <row r="57" ht="15.75" customHeight="1">
      <c r="A57" s="7" t="s">
        <v>51</v>
      </c>
      <c r="B57" s="47" t="str">
        <f>IFERROR(AVERAGEIFS(#REF!,'3_Master_Benchmark'!$E$5:$E$46,$A57,'3_Master_Benchmark'!$B$5:$B$46,B$52),"")</f>
        <v/>
      </c>
      <c r="C57" s="47" t="str">
        <f>IFERROR(AVERAGEIFS(#REF!,'3_Master_Benchmark'!$E$5:$E$46,$A57,'3_Master_Benchmark'!$B$5:$B$46,C$52),"")</f>
        <v/>
      </c>
      <c r="D57" s="47" t="str">
        <f>IFERROR(AVERAGEIFS(#REF!,'3_Master_Benchmark'!$E$5:$E$46,$A57,'3_Master_Benchmark'!$B$5:$B$46,D$52),"")</f>
        <v/>
      </c>
      <c r="E57" s="47" t="str">
        <f>IFERROR(AVERAGEIFS(#REF!,'3_Master_Benchmark'!$E$5:$E$46,$A57,'3_Master_Benchmark'!$B$5:$B$46,E$52),"")</f>
        <v/>
      </c>
      <c r="F57" s="47" t="str">
        <f>IFERROR(AVERAGEIFS(#REF!,'3_Master_Benchmark'!$E$5:$E$46,$A57,'3_Master_Benchmark'!$B$5:$B$46,F$52),"")</f>
        <v/>
      </c>
      <c r="G57" s="47" t="str">
        <f>IFERROR(AVERAGEIFS(#REF!,'3_Master_Benchmark'!$E$5:$E$46,$A57,'3_Master_Benchmark'!$B$5:$B$46,G$52),"")</f>
        <v/>
      </c>
      <c r="H57" s="47" t="str">
        <f>IFERROR(AVERAGEIFS(#REF!,'3_Master_Benchmark'!$E$5:$E$46,$A57,'3_Master_Benchmark'!$B$5:$B$46,H$52),"")</f>
        <v/>
      </c>
      <c r="I57" s="47" t="str">
        <f>IFERROR(AVERAGEIFS(#REF!,'3_Master_Benchmark'!$E$5:$E$46,$A57,'3_Master_Benchmark'!$B$5:$B$46,I$52),"")</f>
        <v/>
      </c>
    </row>
    <row r="58" ht="15.75" customHeight="1"/>
    <row r="59" ht="15.75" customHeight="1"/>
    <row r="60" ht="15.75" customHeight="1">
      <c r="A60" s="1" t="s">
        <v>358</v>
      </c>
    </row>
    <row r="61" ht="15.75" customHeight="1">
      <c r="A61" s="6" t="s">
        <v>359</v>
      </c>
    </row>
    <row r="62" ht="15.75" customHeight="1">
      <c r="A62" s="4" t="s">
        <v>7</v>
      </c>
      <c r="B62" s="50" t="s">
        <v>23</v>
      </c>
      <c r="C62" s="50" t="s">
        <v>33</v>
      </c>
      <c r="D62" s="4" t="s">
        <v>43</v>
      </c>
      <c r="E62" s="4" t="s">
        <v>50</v>
      </c>
      <c r="F62" s="4" t="s">
        <v>54</v>
      </c>
      <c r="G62" s="4" t="s">
        <v>58</v>
      </c>
      <c r="H62" s="4" t="s">
        <v>63</v>
      </c>
      <c r="I62" s="4" t="s">
        <v>74</v>
      </c>
    </row>
    <row r="63" ht="15.75" customHeight="1">
      <c r="A63" s="7" t="s">
        <v>21</v>
      </c>
      <c r="B63" s="51">
        <f>COUNTIFS('3_Master_Benchmark'!$G$5:$G$46,$A63,'3_Master_Benchmark'!$B$5:$B$46,B$62)</f>
        <v>1</v>
      </c>
      <c r="C63" s="51">
        <f>COUNTIFS('3_Master_Benchmark'!$G$5:$G$46,$A63,'3_Master_Benchmark'!$B$5:$B$46,C$62)</f>
        <v>0</v>
      </c>
      <c r="D63" s="51">
        <f>COUNTIFS('3_Master_Benchmark'!$G$5:$G$46,$A63,'3_Master_Benchmark'!$B$5:$B$46,D$62)</f>
        <v>2</v>
      </c>
      <c r="E63" s="51">
        <f>COUNTIFS('3_Master_Benchmark'!$G$5:$G$46,$A63,'3_Master_Benchmark'!$B$5:$B$46,E$62)</f>
        <v>6</v>
      </c>
      <c r="F63" s="51">
        <f>COUNTIFS('3_Master_Benchmark'!$G$5:$G$46,$A63,'3_Master_Benchmark'!$B$5:$B$46,F$62)</f>
        <v>4</v>
      </c>
      <c r="G63" s="51">
        <f>COUNTIFS('3_Master_Benchmark'!$G$5:$G$46,$A63,'3_Master_Benchmark'!$B$5:$B$46,G$62)</f>
        <v>2</v>
      </c>
      <c r="H63" s="51">
        <f>COUNTIFS('3_Master_Benchmark'!$G$5:$G$46,$A63,'3_Master_Benchmark'!$B$5:$B$46,H$62)</f>
        <v>1</v>
      </c>
      <c r="I63" s="51">
        <f>COUNTIFS('3_Master_Benchmark'!$G$5:$G$46,$A63,'3_Master_Benchmark'!$B$5:$B$46,I$62)</f>
        <v>1</v>
      </c>
    </row>
    <row r="64" ht="15.75" customHeight="1">
      <c r="A64" s="7" t="s">
        <v>29</v>
      </c>
      <c r="B64" s="51">
        <f>COUNTIFS('3_Master_Benchmark'!$G$5:$G$46,$A64,'3_Master_Benchmark'!$B$5:$B$46,B$62)</f>
        <v>8</v>
      </c>
      <c r="C64" s="51">
        <f>COUNTIFS('3_Master_Benchmark'!$G$5:$G$46,$A64,'3_Master_Benchmark'!$B$5:$B$46,C$62)</f>
        <v>0</v>
      </c>
      <c r="D64" s="51">
        <f>COUNTIFS('3_Master_Benchmark'!$G$5:$G$46,$A64,'3_Master_Benchmark'!$B$5:$B$46,D$62)</f>
        <v>8</v>
      </c>
      <c r="E64" s="51">
        <f>COUNTIFS('3_Master_Benchmark'!$G$5:$G$46,$A64,'3_Master_Benchmark'!$B$5:$B$46,E$62)</f>
        <v>0</v>
      </c>
      <c r="F64" s="51">
        <f>COUNTIFS('3_Master_Benchmark'!$G$5:$G$46,$A64,'3_Master_Benchmark'!$B$5:$B$46,F$62)</f>
        <v>1</v>
      </c>
      <c r="G64" s="51">
        <f>COUNTIFS('3_Master_Benchmark'!$G$5:$G$46,$A64,'3_Master_Benchmark'!$B$5:$B$46,G$62)</f>
        <v>0</v>
      </c>
      <c r="H64" s="51">
        <f>COUNTIFS('3_Master_Benchmark'!$G$5:$G$46,$A64,'3_Master_Benchmark'!$B$5:$B$46,H$62)</f>
        <v>0</v>
      </c>
      <c r="I64" s="51">
        <f>COUNTIFS('3_Master_Benchmark'!$G$5:$G$46,$A64,'3_Master_Benchmark'!$B$5:$B$46,I$62)</f>
        <v>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5:J5"/>
    <mergeCell ref="A15:J15"/>
    <mergeCell ref="A33:J33"/>
    <mergeCell ref="A51:J51"/>
    <mergeCell ref="A61:J6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7" width="22.0"/>
    <col customWidth="1" min="8" max="26" width="8.71"/>
  </cols>
  <sheetData>
    <row r="1" ht="25.5" customHeight="1">
      <c r="A1" s="2" t="s">
        <v>170</v>
      </c>
      <c r="B1" s="3"/>
      <c r="C1" s="3"/>
      <c r="D1" s="3"/>
      <c r="E1" s="3"/>
      <c r="F1" s="3"/>
      <c r="G1" s="3"/>
      <c r="H1" s="5"/>
    </row>
    <row r="2">
      <c r="A2" s="6" t="s">
        <v>172</v>
      </c>
    </row>
    <row r="4">
      <c r="A4" s="1" t="s">
        <v>174</v>
      </c>
    </row>
    <row r="5">
      <c r="A5" s="6" t="s">
        <v>175</v>
      </c>
    </row>
    <row r="6" ht="39.75" customHeight="1">
      <c r="A6" s="4" t="s">
        <v>10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181</v>
      </c>
      <c r="G6" s="4" t="s">
        <v>183</v>
      </c>
    </row>
    <row r="7">
      <c r="A7" s="20" t="s">
        <v>23</v>
      </c>
      <c r="B7" s="46">
        <f>IFERROR(AVERAGEIFS('3_Master_Benchmark'!$K$5:$K$46,'3_Master_Benchmark'!$B$5:$B$46,$A7),"")</f>
        <v>19249000</v>
      </c>
      <c r="C7" s="46" t="str">
        <f>IFERROR(AVERAGEIFS('3_Master_Benchmark'!$L$5:$L$46,'3_Master_Benchmark'!$B$5:$B$46,$A7),"")</f>
        <v/>
      </c>
      <c r="D7" s="46" t="str">
        <f>IFERROR(AVERAGEIFS('3_Master_Benchmark'!$M$5:$M$46,'3_Master_Benchmark'!$B$5:$B$46,$A7),"")</f>
        <v/>
      </c>
      <c r="E7" s="46" t="str">
        <f>IFERROR(AVERAGEIFS('3_Master_Benchmark'!$N$5:$N$46,'3_Master_Benchmark'!$B$5:$B$46,$A7),"")</f>
        <v/>
      </c>
      <c r="F7" s="46" t="str">
        <f>IFERROR(AVERAGEIFS('3_Master_Benchmark'!$O$5:$O$46,'3_Master_Benchmark'!$B$5:$B$46,$A7),"")</f>
        <v/>
      </c>
      <c r="G7" s="51">
        <f>COUNTIFS('3_Master_Benchmark'!$B$5:$B$46,$A7)</f>
        <v>9</v>
      </c>
    </row>
    <row r="8">
      <c r="A8" s="20" t="s">
        <v>33</v>
      </c>
      <c r="B8" s="46" t="str">
        <f>IFERROR(AVERAGEIFS('3_Master_Benchmark'!$K$5:$K$46,'3_Master_Benchmark'!$B$5:$B$46,$A8),"")</f>
        <v/>
      </c>
      <c r="C8" s="46" t="str">
        <f>IFERROR(AVERAGEIFS('3_Master_Benchmark'!$L$5:$L$46,'3_Master_Benchmark'!$B$5:$B$46,$A8),"")</f>
        <v/>
      </c>
      <c r="D8" s="46" t="str">
        <f>IFERROR(AVERAGEIFS('3_Master_Benchmark'!$M$5:$M$46,'3_Master_Benchmark'!$B$5:$B$46,$A8),"")</f>
        <v/>
      </c>
      <c r="E8" s="46" t="str">
        <f>IFERROR(AVERAGEIFS('3_Master_Benchmark'!$N$5:$N$46,'3_Master_Benchmark'!$B$5:$B$46,$A8),"")</f>
        <v/>
      </c>
      <c r="F8" s="46" t="str">
        <f>IFERROR(AVERAGEIFS('3_Master_Benchmark'!$O$5:$O$46,'3_Master_Benchmark'!$B$5:$B$46,$A8),"")</f>
        <v/>
      </c>
      <c r="G8" s="51">
        <f>COUNTIFS('3_Master_Benchmark'!$B$5:$B$46,$A8)</f>
        <v>2</v>
      </c>
    </row>
    <row r="9">
      <c r="A9" s="7" t="s">
        <v>43</v>
      </c>
      <c r="B9" s="46" t="str">
        <f>IFERROR(AVERAGEIFS('3_Master_Benchmark'!$K$5:$K$46,'3_Master_Benchmark'!$B$5:$B$46,$A9),"")</f>
        <v/>
      </c>
      <c r="C9" s="46" t="str">
        <f>IFERROR(AVERAGEIFS('3_Master_Benchmark'!$L$5:$L$46,'3_Master_Benchmark'!$B$5:$B$46,$A9),"")</f>
        <v/>
      </c>
      <c r="D9" s="46" t="str">
        <f>IFERROR(AVERAGEIFS('3_Master_Benchmark'!$M$5:$M$46,'3_Master_Benchmark'!$B$5:$B$46,$A9),"")</f>
        <v/>
      </c>
      <c r="E9" s="46" t="str">
        <f>IFERROR(AVERAGEIFS('3_Master_Benchmark'!$N$5:$N$46,'3_Master_Benchmark'!$B$5:$B$46,$A9),"")</f>
        <v/>
      </c>
      <c r="F9" s="46">
        <f>IFERROR(AVERAGEIFS('3_Master_Benchmark'!$O$5:$O$46,'3_Master_Benchmark'!$B$5:$B$46,$A9),"")</f>
        <v>9969498.1</v>
      </c>
      <c r="G9" s="51">
        <f>COUNTIFS('3_Master_Benchmark'!$B$5:$B$46,$A9)</f>
        <v>10</v>
      </c>
    </row>
    <row r="10">
      <c r="A10" s="7" t="s">
        <v>50</v>
      </c>
      <c r="B10" s="46" t="str">
        <f>IFERROR(AVERAGEIFS('3_Master_Benchmark'!$K$5:$K$46,'3_Master_Benchmark'!$B$5:$B$46,$A10),"")</f>
        <v/>
      </c>
      <c r="C10" s="46" t="str">
        <f>IFERROR(AVERAGEIFS('3_Master_Benchmark'!$L$5:$L$46,'3_Master_Benchmark'!$B$5:$B$46,$A10),"")</f>
        <v/>
      </c>
      <c r="D10" s="46" t="str">
        <f>IFERROR(AVERAGEIFS('3_Master_Benchmark'!$M$5:$M$46,'3_Master_Benchmark'!$B$5:$B$46,$A10),"")</f>
        <v/>
      </c>
      <c r="E10" s="46" t="str">
        <f>IFERROR(AVERAGEIFS('3_Master_Benchmark'!$N$5:$N$46,'3_Master_Benchmark'!$B$5:$B$46,$A10),"")</f>
        <v/>
      </c>
      <c r="F10" s="46">
        <f>IFERROR(AVERAGEIFS('3_Master_Benchmark'!$O$5:$O$46,'3_Master_Benchmark'!$B$5:$B$46,$A10),"")</f>
        <v>10002668.25</v>
      </c>
      <c r="G10" s="51">
        <f>COUNTIFS('3_Master_Benchmark'!$B$5:$B$46,$A10)</f>
        <v>6</v>
      </c>
    </row>
    <row r="11">
      <c r="A11" s="7" t="s">
        <v>54</v>
      </c>
      <c r="B11" s="46" t="str">
        <f>IFERROR(AVERAGEIFS('3_Master_Benchmark'!$K$5:$K$46,'3_Master_Benchmark'!$B$5:$B$46,$A11),"")</f>
        <v/>
      </c>
      <c r="C11" s="46" t="str">
        <f>IFERROR(AVERAGEIFS('3_Master_Benchmark'!$L$5:$L$46,'3_Master_Benchmark'!$B$5:$B$46,$A11),"")</f>
        <v/>
      </c>
      <c r="D11" s="46" t="str">
        <f>IFERROR(AVERAGEIFS('3_Master_Benchmark'!$M$5:$M$46,'3_Master_Benchmark'!$B$5:$B$46,$A11),"")</f>
        <v/>
      </c>
      <c r="E11" s="46" t="str">
        <f>IFERROR(AVERAGEIFS('3_Master_Benchmark'!$N$5:$N$46,'3_Master_Benchmark'!$B$5:$B$46,$A11),"")</f>
        <v/>
      </c>
      <c r="F11" s="46">
        <f>IFERROR(AVERAGEIFS('3_Master_Benchmark'!$O$5:$O$46,'3_Master_Benchmark'!$B$5:$B$46,$A11),"")</f>
        <v>13682908</v>
      </c>
      <c r="G11" s="51">
        <f>COUNTIFS('3_Master_Benchmark'!$B$5:$B$46,$A11)</f>
        <v>5</v>
      </c>
    </row>
    <row r="12">
      <c r="A12" s="7" t="s">
        <v>58</v>
      </c>
      <c r="B12" s="46" t="str">
        <f>IFERROR(AVERAGEIFS('3_Master_Benchmark'!$K$5:$K$46,'3_Master_Benchmark'!$B$5:$B$46,$A12),"")</f>
        <v/>
      </c>
      <c r="C12" s="46" t="str">
        <f>IFERROR(AVERAGEIFS('3_Master_Benchmark'!$L$5:$L$46,'3_Master_Benchmark'!$B$5:$B$46,$A12),"")</f>
        <v/>
      </c>
      <c r="D12" s="46" t="str">
        <f>IFERROR(AVERAGEIFS('3_Master_Benchmark'!$M$5:$M$46,'3_Master_Benchmark'!$B$5:$B$46,$A12),"")</f>
        <v/>
      </c>
      <c r="E12" s="46" t="str">
        <f>IFERROR(AVERAGEIFS('3_Master_Benchmark'!$N$5:$N$46,'3_Master_Benchmark'!$B$5:$B$46,$A12),"")</f>
        <v/>
      </c>
      <c r="F12" s="46">
        <f>IFERROR(AVERAGEIFS('3_Master_Benchmark'!$O$5:$O$46,'3_Master_Benchmark'!$B$5:$B$46,$A12),"")</f>
        <v>4750000</v>
      </c>
      <c r="G12" s="51">
        <f>COUNTIFS('3_Master_Benchmark'!$B$5:$B$46,$A12)</f>
        <v>2</v>
      </c>
    </row>
    <row r="13">
      <c r="A13" s="7" t="s">
        <v>63</v>
      </c>
      <c r="B13" s="46" t="str">
        <f>IFERROR(AVERAGEIFS('3_Master_Benchmark'!$K$5:$K$46,'3_Master_Benchmark'!$B$5:$B$46,$A13),"")</f>
        <v/>
      </c>
      <c r="C13" s="46" t="str">
        <f>IFERROR(AVERAGEIFS('3_Master_Benchmark'!$L$5:$L$46,'3_Master_Benchmark'!$B$5:$B$46,$A13),"")</f>
        <v/>
      </c>
      <c r="D13" s="46" t="str">
        <f>IFERROR(AVERAGEIFS('3_Master_Benchmark'!$M$5:$M$46,'3_Master_Benchmark'!$B$5:$B$46,$A13),"")</f>
        <v/>
      </c>
      <c r="E13" s="46" t="str">
        <f>IFERROR(AVERAGEIFS('3_Master_Benchmark'!$N$5:$N$46,'3_Master_Benchmark'!$B$5:$B$46,$A13),"")</f>
        <v/>
      </c>
      <c r="F13" s="46">
        <f>IFERROR(AVERAGEIFS('3_Master_Benchmark'!$O$5:$O$46,'3_Master_Benchmark'!$B$5:$B$46,$A13),"")</f>
        <v>3356122</v>
      </c>
      <c r="G13" s="51">
        <f>COUNTIFS('3_Master_Benchmark'!$B$5:$B$46,$A13)</f>
        <v>1</v>
      </c>
    </row>
    <row r="14">
      <c r="A14" s="7" t="s">
        <v>74</v>
      </c>
      <c r="B14" s="46" t="str">
        <f>IFERROR(AVERAGEIFS('3_Master_Benchmark'!$K$5:$K$46,'3_Master_Benchmark'!$B$5:$B$46,$A14),"")</f>
        <v/>
      </c>
      <c r="C14" s="46" t="str">
        <f>IFERROR(AVERAGEIFS('3_Master_Benchmark'!$L$5:$L$46,'3_Master_Benchmark'!$B$5:$B$46,$A14),"")</f>
        <v/>
      </c>
      <c r="D14" s="46" t="str">
        <f>IFERROR(AVERAGEIFS('3_Master_Benchmark'!$M$5:$M$46,'3_Master_Benchmark'!$B$5:$B$46,$A14),"")</f>
        <v/>
      </c>
      <c r="E14" s="46" t="str">
        <f>IFERROR(AVERAGEIFS('3_Master_Benchmark'!$N$5:$N$46,'3_Master_Benchmark'!$B$5:$B$46,$A14),"")</f>
        <v/>
      </c>
      <c r="F14" s="46" t="str">
        <f>IFERROR(AVERAGEIFS('3_Master_Benchmark'!$O$5:$O$46,'3_Master_Benchmark'!$B$5:$B$46,$A14),"")</f>
        <v/>
      </c>
      <c r="G14" s="51">
        <f>COUNTIFS('3_Master_Benchmark'!$B$5:$B$46,$A14)</f>
        <v>3</v>
      </c>
    </row>
    <row r="17">
      <c r="A17" s="1" t="s">
        <v>267</v>
      </c>
    </row>
    <row r="18">
      <c r="A18" s="6" t="s">
        <v>269</v>
      </c>
    </row>
    <row r="19" ht="39.75" customHeight="1">
      <c r="A19" s="4" t="s">
        <v>10</v>
      </c>
      <c r="B19" s="4" t="s">
        <v>271</v>
      </c>
      <c r="C19" s="4" t="s">
        <v>272</v>
      </c>
      <c r="D19" s="4" t="s">
        <v>275</v>
      </c>
    </row>
    <row r="20">
      <c r="A20" s="20" t="s">
        <v>23</v>
      </c>
      <c r="B20" s="63" t="str">
        <f>IFERROR(AVERAGEIFS(#REF!,'3_Master_Benchmark'!$B$5:$B$46,$A20),"")</f>
        <v/>
      </c>
      <c r="C20" s="51" t="str">
        <f>COUNTIFS('3_Master_Benchmark'!$B$5:$B$46,$A20,#REF!,"&gt;0.1")</f>
        <v>#VALUE!</v>
      </c>
      <c r="D20" s="51" t="str">
        <f>COUNTIFS('3_Master_Benchmark'!$B$5:$B$46,$A20,#REF!,"&gt;1")</f>
        <v>#VALUE!</v>
      </c>
    </row>
    <row r="21" ht="15.75" customHeight="1">
      <c r="A21" s="20" t="s">
        <v>33</v>
      </c>
      <c r="B21" s="63" t="str">
        <f>IFERROR(AVERAGEIFS(#REF!,'3_Master_Benchmark'!$B$5:$B$46,$A21),"")</f>
        <v/>
      </c>
      <c r="C21" s="51" t="str">
        <f>COUNTIFS('3_Master_Benchmark'!$B$5:$B$46,$A21,#REF!,"&gt;0.1")</f>
        <v>#VALUE!</v>
      </c>
      <c r="D21" s="51" t="str">
        <f>COUNTIFS('3_Master_Benchmark'!$B$5:$B$46,$A21,#REF!,"&gt;1")</f>
        <v>#VALUE!</v>
      </c>
    </row>
    <row r="22" ht="15.75" customHeight="1">
      <c r="A22" s="7" t="s">
        <v>43</v>
      </c>
      <c r="B22" s="63" t="str">
        <f>IFERROR(AVERAGEIFS(#REF!,'3_Master_Benchmark'!$B$5:$B$46,$A22),"")</f>
        <v/>
      </c>
      <c r="C22" s="51" t="str">
        <f>COUNTIFS('3_Master_Benchmark'!$B$5:$B$46,$A22,#REF!,"&gt;0.1")</f>
        <v>#VALUE!</v>
      </c>
      <c r="D22" s="51" t="str">
        <f>COUNTIFS('3_Master_Benchmark'!$B$5:$B$46,$A22,#REF!,"&gt;1")</f>
        <v>#VALUE!</v>
      </c>
    </row>
    <row r="23" ht="15.75" customHeight="1">
      <c r="A23" s="7" t="s">
        <v>50</v>
      </c>
      <c r="B23" s="63" t="str">
        <f>IFERROR(AVERAGEIFS(#REF!,'3_Master_Benchmark'!$B$5:$B$46,$A23),"")</f>
        <v/>
      </c>
      <c r="C23" s="51" t="str">
        <f>COUNTIFS('3_Master_Benchmark'!$B$5:$B$46,$A23,#REF!,"&gt;0.1")</f>
        <v>#VALUE!</v>
      </c>
      <c r="D23" s="51" t="str">
        <f>COUNTIFS('3_Master_Benchmark'!$B$5:$B$46,$A23,#REF!,"&gt;1")</f>
        <v>#VALUE!</v>
      </c>
    </row>
    <row r="24" ht="15.75" customHeight="1">
      <c r="A24" s="7" t="s">
        <v>54</v>
      </c>
      <c r="B24" s="63" t="str">
        <f>IFERROR(AVERAGEIFS(#REF!,'3_Master_Benchmark'!$B$5:$B$46,$A24),"")</f>
        <v/>
      </c>
      <c r="C24" s="51" t="str">
        <f>COUNTIFS('3_Master_Benchmark'!$B$5:$B$46,$A24,#REF!,"&gt;0.1")</f>
        <v>#VALUE!</v>
      </c>
      <c r="D24" s="51" t="str">
        <f>COUNTIFS('3_Master_Benchmark'!$B$5:$B$46,$A24,#REF!,"&gt;1")</f>
        <v>#VALUE!</v>
      </c>
    </row>
    <row r="25" ht="15.75" customHeight="1">
      <c r="A25" s="7" t="s">
        <v>58</v>
      </c>
      <c r="B25" s="63" t="str">
        <f>IFERROR(AVERAGEIFS(#REF!,'3_Master_Benchmark'!$B$5:$B$46,$A25),"")</f>
        <v/>
      </c>
      <c r="C25" s="51" t="str">
        <f>COUNTIFS('3_Master_Benchmark'!$B$5:$B$46,$A25,#REF!,"&gt;0.1")</f>
        <v>#VALUE!</v>
      </c>
      <c r="D25" s="51" t="str">
        <f>COUNTIFS('3_Master_Benchmark'!$B$5:$B$46,$A25,#REF!,"&gt;1")</f>
        <v>#VALUE!</v>
      </c>
    </row>
    <row r="26" ht="15.75" customHeight="1">
      <c r="A26" s="7" t="s">
        <v>63</v>
      </c>
      <c r="B26" s="63" t="str">
        <f>IFERROR(AVERAGEIFS(#REF!,'3_Master_Benchmark'!$B$5:$B$46,$A26),"")</f>
        <v/>
      </c>
      <c r="C26" s="51" t="str">
        <f>COUNTIFS('3_Master_Benchmark'!$B$5:$B$46,$A26,#REF!,"&gt;0.1")</f>
        <v>#VALUE!</v>
      </c>
      <c r="D26" s="51" t="str">
        <f>COUNTIFS('3_Master_Benchmark'!$B$5:$B$46,$A26,#REF!,"&gt;1")</f>
        <v>#VALUE!</v>
      </c>
    </row>
    <row r="27" ht="15.75" customHeight="1">
      <c r="A27" s="7" t="s">
        <v>74</v>
      </c>
      <c r="B27" s="63" t="str">
        <f>IFERROR(AVERAGEIFS(#REF!,'3_Master_Benchmark'!$B$5:$B$46,$A27),"")</f>
        <v/>
      </c>
      <c r="C27" s="51" t="str">
        <f>COUNTIFS('3_Master_Benchmark'!$B$5:$B$46,$A27,#REF!,"&gt;0.1")</f>
        <v>#VALUE!</v>
      </c>
      <c r="D27" s="51" t="str">
        <f>COUNTIFS('3_Master_Benchmark'!$B$5:$B$46,$A27,#REF!,"&gt;1")</f>
        <v>#VALUE!</v>
      </c>
    </row>
    <row r="28" ht="15.75" customHeight="1"/>
    <row r="29" ht="15.75" customHeight="1"/>
    <row r="30" ht="15.75" customHeight="1">
      <c r="A30" s="1" t="s">
        <v>301</v>
      </c>
    </row>
    <row r="31" ht="15.75" customHeight="1">
      <c r="A31" s="4" t="s">
        <v>302</v>
      </c>
      <c r="B31" s="4" t="s">
        <v>303</v>
      </c>
      <c r="C31" s="4" t="s">
        <v>304</v>
      </c>
      <c r="D31" s="4" t="s">
        <v>305</v>
      </c>
    </row>
    <row r="32" ht="15.75" customHeight="1">
      <c r="A32" s="7" t="s">
        <v>177</v>
      </c>
      <c r="B32" s="51">
        <f>COUNT('3_Master_Benchmark'!$K$5:$K$46)</f>
        <v>8</v>
      </c>
      <c r="C32" s="51">
        <f>COUNTA('3_Master_Benchmark'!$B$5:$B$46)</f>
        <v>42</v>
      </c>
      <c r="D32" s="64">
        <f t="shared" ref="D32:D36" si="1">IFERROR($B32/$C32,"")</f>
        <v>0.1904761905</v>
      </c>
    </row>
    <row r="33" ht="15.75" customHeight="1">
      <c r="A33" s="7" t="s">
        <v>178</v>
      </c>
      <c r="B33" s="51">
        <f>COUNT('3_Master_Benchmark'!$L$5:$L$46)</f>
        <v>0</v>
      </c>
      <c r="C33" s="51">
        <f>COUNTA('3_Master_Benchmark'!$B$5:$B$46)</f>
        <v>42</v>
      </c>
      <c r="D33" s="64">
        <f t="shared" si="1"/>
        <v>0</v>
      </c>
    </row>
    <row r="34" ht="15.75" customHeight="1">
      <c r="A34" s="7" t="s">
        <v>179</v>
      </c>
      <c r="B34" s="51">
        <f>COUNT('3_Master_Benchmark'!$M$5:$M$46)</f>
        <v>0</v>
      </c>
      <c r="C34" s="51">
        <f>COUNTA('3_Master_Benchmark'!$B$5:$B$46)</f>
        <v>42</v>
      </c>
      <c r="D34" s="64">
        <f t="shared" si="1"/>
        <v>0</v>
      </c>
    </row>
    <row r="35" ht="15.75" customHeight="1">
      <c r="A35" s="7" t="s">
        <v>180</v>
      </c>
      <c r="B35" s="51">
        <f>COUNT('3_Master_Benchmark'!$N$5:$N$46)</f>
        <v>0</v>
      </c>
      <c r="C35" s="51">
        <f>COUNTA('3_Master_Benchmark'!$B$5:$B$46)</f>
        <v>42</v>
      </c>
      <c r="D35" s="64">
        <f t="shared" si="1"/>
        <v>0</v>
      </c>
    </row>
    <row r="36" ht="15.75" customHeight="1">
      <c r="A36" s="7" t="s">
        <v>181</v>
      </c>
      <c r="B36" s="51">
        <f>COUNT('3_Master_Benchmark'!$O$5:$O$46)</f>
        <v>23</v>
      </c>
      <c r="C36" s="51">
        <f>COUNTA('3_Master_Benchmark'!$B$5:$B$46)</f>
        <v>42</v>
      </c>
      <c r="D36" s="64">
        <f t="shared" si="1"/>
        <v>0.5476190476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5:H5"/>
    <mergeCell ref="A18:H18"/>
  </mergeCells>
  <printOptions/>
  <pageMargins bottom="1.0" footer="0.0" header="0.0" left="0.75" right="0.75" top="1.0"/>
  <pageSetup paperSize="9" orientation="portrait"/>
  <drawing r:id="rId1"/>
</worksheet>
</file>