
<file path=[Content_Types].xml><?xml version="1.0" encoding="utf-8"?>
<Types xmlns="http://schemas.openxmlformats.org/package/2006/content-types">
  <Default Extension="png" ContentType="image/png"/>
  <Default Extension="jpeg" ContentType="image/jpeg"/>
  <Default Extension="webp" ContentType="image/png"/>
  <Default Extension="rels" ContentType="application/vnd.openxmlformats-package.relationships+xml"/>
  <Default Extension="xml" ContentType="application/xml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157001\Desktop\"/>
    </mc:Choice>
  </mc:AlternateContent>
  <xr:revisionPtr revIDLastSave="0" documentId="13_ncr:1_{1047643D-A748-4479-8704-11A05D102381}" xr6:coauthVersionLast="37" xr6:coauthVersionMax="37" xr10:uidLastSave="{00000000-0000-0000-0000-000000000000}"/>
  <bookViews>
    <workbookView xWindow="0" yWindow="0" windowWidth="19200" windowHeight="8020" xr2:uid="{FE8D9C54-FAC0-4979-96D5-635CEA8B4AD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20" i="1" l="1"/>
  <c r="AA20" i="1"/>
  <c r="V20" i="1"/>
  <c r="BE19" i="1"/>
  <c r="AA19" i="1"/>
  <c r="V19" i="1"/>
  <c r="BE18" i="1"/>
  <c r="AA18" i="1"/>
  <c r="V18" i="1"/>
  <c r="BE17" i="1"/>
  <c r="AA17" i="1"/>
  <c r="V17" i="1"/>
  <c r="AP16" i="1"/>
  <c r="V16" i="1"/>
  <c r="BE15" i="1"/>
  <c r="AA15" i="1"/>
  <c r="V15" i="1"/>
  <c r="AZ14" i="1"/>
  <c r="AP14" i="1"/>
  <c r="AK14" i="1"/>
  <c r="AF14" i="1"/>
  <c r="AA14" i="1"/>
  <c r="V14" i="1"/>
  <c r="P14" i="1"/>
  <c r="K14" i="1"/>
  <c r="AZ13" i="1"/>
  <c r="AU13" i="1"/>
  <c r="AP13" i="1"/>
  <c r="AK13" i="1"/>
  <c r="AF13" i="1"/>
  <c r="AA13" i="1"/>
  <c r="V13" i="1"/>
  <c r="P13" i="1"/>
  <c r="K13" i="1"/>
  <c r="BE12" i="1"/>
  <c r="AZ12" i="1"/>
  <c r="AU12" i="1"/>
  <c r="AP12" i="1"/>
  <c r="AK12" i="1"/>
  <c r="AF12" i="1"/>
  <c r="AA12" i="1"/>
  <c r="V12" i="1"/>
  <c r="P12" i="1"/>
  <c r="K12" i="1"/>
  <c r="BE11" i="1"/>
  <c r="AZ11" i="1"/>
  <c r="AU11" i="1"/>
  <c r="AP11" i="1"/>
  <c r="AK11" i="1"/>
  <c r="AF11" i="1"/>
  <c r="AA11" i="1"/>
  <c r="V11" i="1"/>
  <c r="P11" i="1"/>
  <c r="K11" i="1"/>
  <c r="BE10" i="1"/>
  <c r="AZ10" i="1"/>
  <c r="AU10" i="1"/>
  <c r="AP10" i="1"/>
  <c r="AK10" i="1"/>
  <c r="AF10" i="1"/>
  <c r="AA10" i="1"/>
  <c r="V10" i="1"/>
  <c r="P10" i="1"/>
  <c r="K10" i="1"/>
  <c r="BE9" i="1"/>
  <c r="AZ9" i="1"/>
  <c r="AU9" i="1"/>
  <c r="AP9" i="1"/>
  <c r="AK9" i="1"/>
  <c r="AF9" i="1"/>
  <c r="AA9" i="1"/>
  <c r="V9" i="1"/>
  <c r="P9" i="1"/>
  <c r="K9" i="1"/>
  <c r="BE8" i="1"/>
  <c r="AZ8" i="1"/>
  <c r="AU8" i="1"/>
  <c r="AP8" i="1"/>
  <c r="AK8" i="1"/>
  <c r="AF8" i="1"/>
  <c r="AA8" i="1"/>
  <c r="V8" i="1"/>
  <c r="P8" i="1"/>
  <c r="K8" i="1"/>
  <c r="BE7" i="1"/>
  <c r="AZ7" i="1"/>
  <c r="AU7" i="1"/>
  <c r="AP7" i="1"/>
  <c r="AK7" i="1"/>
  <c r="AF7" i="1"/>
  <c r="AA7" i="1"/>
  <c r="V7" i="1"/>
  <c r="P7" i="1"/>
  <c r="K7" i="1"/>
  <c r="BE6" i="1"/>
  <c r="AZ6" i="1"/>
  <c r="AU6" i="1"/>
  <c r="AP6" i="1"/>
  <c r="AK6" i="1"/>
  <c r="AF6" i="1"/>
  <c r="AA6" i="1"/>
  <c r="V6" i="1"/>
  <c r="P6" i="1"/>
  <c r="K6" i="1"/>
  <c r="BE5" i="1"/>
  <c r="AZ5" i="1"/>
  <c r="AU5" i="1"/>
  <c r="AP5" i="1"/>
  <c r="AK5" i="1"/>
  <c r="AF5" i="1"/>
  <c r="AA5" i="1"/>
  <c r="V5" i="1"/>
  <c r="P5" i="1"/>
  <c r="K5" i="1"/>
  <c r="BE4" i="1"/>
  <c r="AZ4" i="1"/>
  <c r="AU4" i="1"/>
  <c r="AP4" i="1"/>
  <c r="AK4" i="1"/>
  <c r="AF4" i="1"/>
  <c r="AA4" i="1"/>
  <c r="V4" i="1"/>
  <c r="P4" i="1"/>
  <c r="K4" i="1"/>
</calcChain>
</file>

<file path=xl/sharedStrings.xml><?xml version="1.0" encoding="utf-8"?>
<sst xmlns="http://schemas.openxmlformats.org/spreadsheetml/2006/main" count="223" uniqueCount="140">
  <si>
    <t>Product Benchmark Electronic City - Jul 26</t>
  </si>
  <si>
    <t>CATEGORY</t>
  </si>
  <si>
    <t>AQUA</t>
  </si>
  <si>
    <t>SAMSUNG</t>
  </si>
  <si>
    <t>ELECTROLUX</t>
  </si>
  <si>
    <t>SHARP</t>
  </si>
  <si>
    <t>LG</t>
  </si>
  <si>
    <t>TOSHIBA</t>
  </si>
  <si>
    <t>MIDEA</t>
  </si>
  <si>
    <t>MODENA</t>
  </si>
  <si>
    <t>HISENSE</t>
  </si>
  <si>
    <t>TCL</t>
  </si>
  <si>
    <t>POLYTRON</t>
  </si>
  <si>
    <t>PIC</t>
  </si>
  <si>
    <t>MODEL</t>
  </si>
  <si>
    <t>LITER</t>
  </si>
  <si>
    <t>PRICE</t>
  </si>
  <si>
    <t>PROMO</t>
  </si>
  <si>
    <t>CPI</t>
  </si>
  <si>
    <t>SBS</t>
  </si>
  <si>
    <t>AQR-CSE696RSV(SL)U1</t>
  </si>
  <si>
    <t>658L</t>
  </si>
  <si>
    <t>RS70F65KNFSE/BL</t>
  </si>
  <si>
    <t>660 L</t>
  </si>
  <si>
    <t>21.799.000 - Galaxy 
A26 wort 4 MIO, NET 
17.799.000</t>
  </si>
  <si>
    <t>ESE6645A</t>
  </si>
  <si>
    <t>600 L</t>
  </si>
  <si>
    <t>AQR-TSE696RAV(MX)</t>
  </si>
  <si>
    <t>616 L</t>
  </si>
  <si>
    <t>RS70F65QNFSE/BL</t>
  </si>
  <si>
    <t>680 L</t>
  </si>
  <si>
    <t>14.699.000 - Ultra Vou
600K, NET 
14.399.000</t>
  </si>
  <si>
    <t>ESE6600B-B</t>
  </si>
  <si>
    <t>624 L</t>
  </si>
  <si>
    <t>GR-RS696WE-PMF/DY</t>
  </si>
  <si>
    <t>620L</t>
  </si>
  <si>
    <t>RS708N4IBU/BL</t>
  </si>
  <si>
    <t>591L</t>
  </si>
  <si>
    <t>AQR-CSE605RBC(CB)</t>
  </si>
  <si>
    <t>542 L</t>
  </si>
  <si>
    <t>RS57DG4000M9/SL</t>
  </si>
  <si>
    <t>570 L</t>
  </si>
  <si>
    <t xml:space="preserve">10.549.000-ultra vou
300K, NET 9.369.000 </t>
  </si>
  <si>
    <t>ESE5100-B</t>
  </si>
  <si>
    <t>545 L</t>
  </si>
  <si>
    <t>GCFB507PQAM</t>
  </si>
  <si>
    <t>509 L</t>
  </si>
  <si>
    <t>MDRS715FGF28ID</t>
  </si>
  <si>
    <t>558 L</t>
  </si>
  <si>
    <t>P650SBS</t>
  </si>
  <si>
    <t>546 L</t>
  </si>
  <si>
    <t>PRS 520Y</t>
  </si>
  <si>
    <t>AQR-CSE565RBC(CB)</t>
  </si>
  <si>
    <t>480 L</t>
  </si>
  <si>
    <t>ESE4500A-B</t>
  </si>
  <si>
    <t>450 L</t>
  </si>
  <si>
    <t>SJ-IS50MA-SL/SL</t>
  </si>
  <si>
    <t/>
  </si>
  <si>
    <t>GR-RS600WI-PMF</t>
  </si>
  <si>
    <t>460 L</t>
  </si>
  <si>
    <t>RF 4671 SADS</t>
  </si>
  <si>
    <t>467 L</t>
  </si>
  <si>
    <t>PRS 455S</t>
  </si>
  <si>
    <t>MULTIDOOR</t>
  </si>
  <si>
    <t>AQR-CTD746RAG(BK)U1</t>
  </si>
  <si>
    <t>658 L</t>
  </si>
  <si>
    <t>SJ-IF91PG-GB</t>
  </si>
  <si>
    <t>639L</t>
  </si>
  <si>
    <t>RQ630N4IGUI3/GY</t>
  </si>
  <si>
    <t>664L</t>
  </si>
  <si>
    <t>AQR-TTD546RBG(BK)</t>
  </si>
  <si>
    <t>469 L</t>
  </si>
  <si>
    <t>RF48A8000B4 + Ultra Voucher 300K</t>
  </si>
  <si>
    <t>511 L</t>
  </si>
  <si>
    <t>EQE4900A</t>
  </si>
  <si>
    <t>496 L</t>
  </si>
  <si>
    <t>SJ-IF51PG-BK</t>
  </si>
  <si>
    <t>472L</t>
  </si>
  <si>
    <t>RQ556N4IBU/BL</t>
  </si>
  <si>
    <t>467L</t>
  </si>
  <si>
    <t>AQR-TTD546RBV(MX)</t>
  </si>
  <si>
    <t>EQE4200A-B</t>
  </si>
  <si>
    <t>419 L</t>
  </si>
  <si>
    <t>SJ-IF51PG-BK/BL</t>
  </si>
  <si>
    <t>472 L</t>
  </si>
  <si>
    <t>GCFB41FPGAM.N</t>
  </si>
  <si>
    <t>479 L</t>
  </si>
  <si>
    <t>GR-RF611WI-PGF/BL</t>
  </si>
  <si>
    <t>474L</t>
  </si>
  <si>
    <t>MDRF632FIF28ID</t>
  </si>
  <si>
    <t>470 L</t>
  </si>
  <si>
    <t>PRS 510X</t>
  </si>
  <si>
    <t>AQR-CTD506RGC(CB)</t>
  </si>
  <si>
    <t>425L</t>
  </si>
  <si>
    <t>430L</t>
  </si>
  <si>
    <t>GRRF611WI</t>
  </si>
  <si>
    <t>MDRF550FGF28ID</t>
  </si>
  <si>
    <t>407 L</t>
  </si>
  <si>
    <t>RF 4311 MADS</t>
  </si>
  <si>
    <t>431 L</t>
  </si>
  <si>
    <t>AQR-TTD546RBG(WT)</t>
  </si>
  <si>
    <t>RQ561N4IWU</t>
  </si>
  <si>
    <t>507L</t>
  </si>
  <si>
    <t>TM</t>
    <phoneticPr fontId="0" type="noConversion"/>
  </si>
  <si>
    <t>AQR-DTM305RAV(MX)</t>
  </si>
  <si>
    <t>245 L</t>
  </si>
  <si>
    <t>RT25FARBDB1</t>
  </si>
  <si>
    <t>ETM2500A-B</t>
  </si>
  <si>
    <t>SJ-326XI-MK</t>
  </si>
  <si>
    <t>256 L</t>
  </si>
  <si>
    <t>AQR-DTM285RAV(MX)</t>
  </si>
  <si>
    <t>225 L</t>
  </si>
  <si>
    <t>RT22FARBDB1/BL</t>
  </si>
  <si>
    <t>SJ-326SI-GK/BL</t>
  </si>
  <si>
    <t>237L</t>
  </si>
  <si>
    <t>GN-B212PQNF/BL</t>
  </si>
  <si>
    <t>217 L</t>
  </si>
  <si>
    <t>AQR-DTM265RAV(MX)</t>
  </si>
  <si>
    <t>205 L</t>
  </si>
  <si>
    <t>SJ-246XI-MK</t>
  </si>
  <si>
    <t>AQR-DTM285CBP(DS)</t>
  </si>
  <si>
    <t>SJ-236MG-GB/BE</t>
  </si>
  <si>
    <t>205L</t>
  </si>
  <si>
    <t>RF2250TGDS</t>
  </si>
  <si>
    <t>AQR-DTM265CBP(DS)</t>
  </si>
  <si>
    <t>SJ-246XG-MS</t>
  </si>
  <si>
    <t>RT266N4IBN</t>
  </si>
  <si>
    <t>AQR-DTM245CBP(DS)</t>
  </si>
  <si>
    <t>185 L</t>
  </si>
  <si>
    <t>SJ-236MG-GB</t>
  </si>
  <si>
    <t>187 L</t>
  </si>
  <si>
    <t>RT208N4ISN</t>
  </si>
  <si>
    <t>PRW 23MNX</t>
  </si>
  <si>
    <t>AQR-D225(MDS)</t>
  </si>
  <si>
    <t>180 L</t>
  </si>
  <si>
    <t>PRA 18 M0W</t>
  </si>
  <si>
    <t>AQR-D205(MDS)</t>
  </si>
  <si>
    <t>165 L</t>
  </si>
  <si>
    <t>SJ-X185MG-GR</t>
  </si>
  <si>
    <t>166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</si>
</sst>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7"/>
      <color rgb="FF343A40"/>
      <name val="Arial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1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Border="1" applyAlignment="1">
      <alignment horizontal="left" vertical="center"/>
    </xf>
    <xf numFmtId="164" fontId="2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164" fontId="7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right" vertical="center" wrapText="1"/>
    </xf>
    <xf numFmtId="9" fontId="7" fillId="3" borderId="1" xfId="2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164" fontId="7" fillId="3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9" fontId="7" fillId="3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right" vertical="center"/>
    </xf>
    <xf numFmtId="9" fontId="7" fillId="0" borderId="1" xfId="2" applyFont="1" applyBorder="1" applyAlignment="1">
      <alignment horizontal="right" vertical="center"/>
    </xf>
    <xf numFmtId="164" fontId="7" fillId="0" borderId="1" xfId="1" applyNumberFormat="1" applyFont="1" applyBorder="1" applyAlignment="1">
      <alignment vertical="center"/>
    </xf>
    <xf numFmtId="9" fontId="7" fillId="0" borderId="1" xfId="2" applyFont="1" applyBorder="1" applyAlignment="1">
      <alignment vertical="center"/>
    </xf>
    <xf numFmtId="164" fontId="7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right" vertical="center"/>
    </xf>
    <xf numFmtId="9" fontId="7" fillId="0" borderId="0" xfId="2" applyFont="1" applyBorder="1" applyAlignment="1">
      <alignment horizontal="right" vertical="center"/>
    </xf>
    <xf numFmtId="164" fontId="7" fillId="0" borderId="0" xfId="1" applyNumberFormat="1" applyFont="1" applyBorder="1" applyAlignment="1">
      <alignment vertical="center"/>
    </xf>
    <xf numFmtId="9" fontId="7" fillId="0" borderId="0" xfId="2" applyFont="1" applyBorder="1" applyAlignment="1">
      <alignment vertical="center"/>
    </xf>
    <xf numFmtId="164" fontId="7" fillId="0" borderId="0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webp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png"/><Relationship Id="rId34" Type="http://schemas.openxmlformats.org/officeDocument/2006/relationships/image" Target="../media/image34.jpg"/><Relationship Id="rId7" Type="http://schemas.openxmlformats.org/officeDocument/2006/relationships/image" Target="../media/image7.webp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webp"/><Relationship Id="rId23" Type="http://schemas.openxmlformats.org/officeDocument/2006/relationships/image" Target="../media/image23.jpg"/><Relationship Id="rId28" Type="http://schemas.openxmlformats.org/officeDocument/2006/relationships/image" Target="../media/image28.webp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e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99786</xdr:colOff>
      <xdr:row>13</xdr:row>
      <xdr:rowOff>54430</xdr:rowOff>
    </xdr:from>
    <xdr:to>
      <xdr:col>1</xdr:col>
      <xdr:colOff>616857</xdr:colOff>
      <xdr:row>14</xdr:row>
      <xdr:rowOff>36914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F0E09-133B-43DA-A453-F2E8830A5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57" t="-909" r="28003" b="1"/>
        <a:stretch/>
      </xdr:blipFill>
      <xdr:spPr>
        <a:xfrm>
          <a:off x="1204686" y="10963730"/>
          <a:ext cx="517071" cy="928634"/>
        </a:xfrm>
        <a:prstGeom prst="rect">
          <a:avLst/>
        </a:prstGeom>
      </xdr:spPr>
    </xdr:pic>
    <xdr:clientData/>
  </xdr:twoCellAnchor>
  <xdr:twoCellAnchor editAs="oneCell">
    <xdr:from>
      <xdr:col>16</xdr:col>
      <xdr:colOff>18143</xdr:colOff>
      <xdr:row>13</xdr:row>
      <xdr:rowOff>99786</xdr:rowOff>
    </xdr:from>
    <xdr:to>
      <xdr:col>16</xdr:col>
      <xdr:colOff>603643</xdr:colOff>
      <xdr:row>14</xdr:row>
      <xdr:rowOff>39007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3E19FC-B954-45E8-A00E-5B8294AC3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20" t="-450" r="24260"/>
        <a:stretch/>
      </xdr:blipFill>
      <xdr:spPr>
        <a:xfrm>
          <a:off x="4431393" y="11009086"/>
          <a:ext cx="585500" cy="885371"/>
        </a:xfrm>
        <a:prstGeom prst="rect">
          <a:avLst/>
        </a:prstGeom>
      </xdr:spPr>
    </xdr:pic>
    <xdr:clientData/>
  </xdr:twoCellAnchor>
  <xdr:twoCellAnchor editAs="oneCell">
    <xdr:from>
      <xdr:col>22</xdr:col>
      <xdr:colOff>54428</xdr:colOff>
      <xdr:row>13</xdr:row>
      <xdr:rowOff>29806</xdr:rowOff>
    </xdr:from>
    <xdr:to>
      <xdr:col>22</xdr:col>
      <xdr:colOff>671285</xdr:colOff>
      <xdr:row>14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45674D-F6A6-4B53-B02B-B11D587EE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7" t="530" r="24920" b="1"/>
        <a:stretch/>
      </xdr:blipFill>
      <xdr:spPr>
        <a:xfrm>
          <a:off x="8423728" y="10939106"/>
          <a:ext cx="616857" cy="973494"/>
        </a:xfrm>
        <a:prstGeom prst="rect">
          <a:avLst/>
        </a:prstGeom>
      </xdr:spPr>
    </xdr:pic>
    <xdr:clientData/>
  </xdr:twoCellAnchor>
  <xdr:twoCellAnchor editAs="oneCell">
    <xdr:from>
      <xdr:col>1</xdr:col>
      <xdr:colOff>99786</xdr:colOff>
      <xdr:row>12</xdr:row>
      <xdr:rowOff>12262</xdr:rowOff>
    </xdr:from>
    <xdr:to>
      <xdr:col>1</xdr:col>
      <xdr:colOff>653144</xdr:colOff>
      <xdr:row>13</xdr:row>
      <xdr:rowOff>39005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C54B37-B128-4AA3-B93D-A68A7E973C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63" t="1712" r="27909" b="-1"/>
        <a:stretch/>
      </xdr:blipFill>
      <xdr:spPr>
        <a:xfrm>
          <a:off x="1204686" y="9905562"/>
          <a:ext cx="553358" cy="972893"/>
        </a:xfrm>
        <a:prstGeom prst="rect">
          <a:avLst/>
        </a:prstGeom>
      </xdr:spPr>
    </xdr:pic>
    <xdr:clientData/>
  </xdr:twoCellAnchor>
  <xdr:twoCellAnchor editAs="oneCell">
    <xdr:from>
      <xdr:col>16</xdr:col>
      <xdr:colOff>108857</xdr:colOff>
      <xdr:row>12</xdr:row>
      <xdr:rowOff>18143</xdr:rowOff>
    </xdr:from>
    <xdr:to>
      <xdr:col>16</xdr:col>
      <xdr:colOff>514844</xdr:colOff>
      <xdr:row>13</xdr:row>
      <xdr:rowOff>56243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0B2835-6538-434D-9CCB-2A4A9B639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88" t="-272" r="36453"/>
        <a:stretch/>
      </xdr:blipFill>
      <xdr:spPr>
        <a:xfrm>
          <a:off x="4522107" y="9911443"/>
          <a:ext cx="405987" cy="984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15</xdr:row>
      <xdr:rowOff>25288</xdr:rowOff>
    </xdr:from>
    <xdr:to>
      <xdr:col>1</xdr:col>
      <xdr:colOff>607786</xdr:colOff>
      <xdr:row>16</xdr:row>
      <xdr:rowOff>69849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936170-15A6-4D36-AB6E-80403656A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07" t="5920" r="32790" b="2584"/>
        <a:stretch/>
      </xdr:blipFill>
      <xdr:spPr>
        <a:xfrm>
          <a:off x="1231900" y="12966588"/>
          <a:ext cx="480786" cy="990711"/>
        </a:xfrm>
        <a:prstGeom prst="rect">
          <a:avLst/>
        </a:prstGeom>
      </xdr:spPr>
    </xdr:pic>
    <xdr:clientData/>
  </xdr:twoCellAnchor>
  <xdr:twoCellAnchor editAs="oneCell">
    <xdr:from>
      <xdr:col>37</xdr:col>
      <xdr:colOff>72572</xdr:colOff>
      <xdr:row>15</xdr:row>
      <xdr:rowOff>32657</xdr:rowOff>
    </xdr:from>
    <xdr:to>
      <xdr:col>37</xdr:col>
      <xdr:colOff>616858</xdr:colOff>
      <xdr:row>16</xdr:row>
      <xdr:rowOff>66221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7A3FC3-3514-42DB-8412-2E897FD23D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18" t="7424" r="30409"/>
        <a:stretch/>
      </xdr:blipFill>
      <xdr:spPr>
        <a:xfrm>
          <a:off x="17916072" y="12973957"/>
          <a:ext cx="544286" cy="979714"/>
        </a:xfrm>
        <a:prstGeom prst="rect">
          <a:avLst/>
        </a:prstGeom>
      </xdr:spPr>
    </xdr:pic>
    <xdr:clientData/>
  </xdr:twoCellAnchor>
  <xdr:twoCellAnchor editAs="oneCell">
    <xdr:from>
      <xdr:col>16</xdr:col>
      <xdr:colOff>63499</xdr:colOff>
      <xdr:row>15</xdr:row>
      <xdr:rowOff>72571</xdr:rowOff>
    </xdr:from>
    <xdr:to>
      <xdr:col>16</xdr:col>
      <xdr:colOff>526216</xdr:colOff>
      <xdr:row>16</xdr:row>
      <xdr:rowOff>15420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3BC6B0-0AC6-4FF5-AEC0-EE3F5AB33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68" t="408" r="34852"/>
        <a:stretch/>
      </xdr:blipFill>
      <xdr:spPr>
        <a:xfrm>
          <a:off x="4476749" y="13013871"/>
          <a:ext cx="462717" cy="888999"/>
        </a:xfrm>
        <a:prstGeom prst="rect">
          <a:avLst/>
        </a:prstGeom>
      </xdr:spPr>
    </xdr:pic>
    <xdr:clientData/>
  </xdr:twoCellAnchor>
  <xdr:twoCellAnchor editAs="oneCell">
    <xdr:from>
      <xdr:col>42</xdr:col>
      <xdr:colOff>79375</xdr:colOff>
      <xdr:row>11</xdr:row>
      <xdr:rowOff>127000</xdr:rowOff>
    </xdr:from>
    <xdr:to>
      <xdr:col>42</xdr:col>
      <xdr:colOff>533840</xdr:colOff>
      <xdr:row>12</xdr:row>
      <xdr:rowOff>22225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DE2B95-B10A-49E4-B335-637D8A8C5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58" t="9597" r="32669" b="3914"/>
        <a:stretch/>
      </xdr:blipFill>
      <xdr:spPr>
        <a:xfrm>
          <a:off x="20850225" y="9004300"/>
          <a:ext cx="454465" cy="841375"/>
        </a:xfrm>
        <a:prstGeom prst="rect">
          <a:avLst/>
        </a:prstGeom>
      </xdr:spPr>
    </xdr:pic>
    <xdr:clientData/>
  </xdr:twoCellAnchor>
  <xdr:twoCellAnchor editAs="oneCell">
    <xdr:from>
      <xdr:col>1</xdr:col>
      <xdr:colOff>151946</xdr:colOff>
      <xdr:row>11</xdr:row>
      <xdr:rowOff>29482</xdr:rowOff>
    </xdr:from>
    <xdr:to>
      <xdr:col>1</xdr:col>
      <xdr:colOff>630214</xdr:colOff>
      <xdr:row>12</xdr:row>
      <xdr:rowOff>51707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B50BCE3-F136-4B5F-A3C4-0C6621AF4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64" t="9050" r="33554" b="4882"/>
        <a:stretch/>
      </xdr:blipFill>
      <xdr:spPr>
        <a:xfrm>
          <a:off x="1256846" y="8906782"/>
          <a:ext cx="478268" cy="968375"/>
        </a:xfrm>
        <a:prstGeom prst="rect">
          <a:avLst/>
        </a:prstGeom>
      </xdr:spPr>
    </xdr:pic>
    <xdr:clientData/>
  </xdr:twoCellAnchor>
  <xdr:twoCellAnchor editAs="oneCell">
    <xdr:from>
      <xdr:col>1</xdr:col>
      <xdr:colOff>145143</xdr:colOff>
      <xdr:row>10</xdr:row>
      <xdr:rowOff>36285</xdr:rowOff>
    </xdr:from>
    <xdr:to>
      <xdr:col>1</xdr:col>
      <xdr:colOff>559760</xdr:colOff>
      <xdr:row>11</xdr:row>
      <xdr:rowOff>60777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370491-ACAF-4D05-AC1E-B6BE2BD2B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887" t="9981" r="35876" b="5002"/>
        <a:stretch/>
      </xdr:blipFill>
      <xdr:spPr>
        <a:xfrm>
          <a:off x="1250043" y="7897585"/>
          <a:ext cx="414617" cy="970642"/>
        </a:xfrm>
        <a:prstGeom prst="rect">
          <a:avLst/>
        </a:prstGeom>
      </xdr:spPr>
    </xdr:pic>
    <xdr:clientData/>
  </xdr:twoCellAnchor>
  <xdr:twoCellAnchor editAs="oneCell">
    <xdr:from>
      <xdr:col>22</xdr:col>
      <xdr:colOff>108858</xdr:colOff>
      <xdr:row>10</xdr:row>
      <xdr:rowOff>27214</xdr:rowOff>
    </xdr:from>
    <xdr:to>
      <xdr:col>22</xdr:col>
      <xdr:colOff>590412</xdr:colOff>
      <xdr:row>11</xdr:row>
      <xdr:rowOff>60777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2440D5E-CA04-4EC2-9D25-D1F7AE7DF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54" t="8268" r="33328" b="4608"/>
        <a:stretch/>
      </xdr:blipFill>
      <xdr:spPr>
        <a:xfrm>
          <a:off x="8478158" y="7888514"/>
          <a:ext cx="481554" cy="979713"/>
        </a:xfrm>
        <a:prstGeom prst="rect">
          <a:avLst/>
        </a:prstGeom>
      </xdr:spPr>
    </xdr:pic>
    <xdr:clientData/>
  </xdr:twoCellAnchor>
  <xdr:twoCellAnchor editAs="oneCell">
    <xdr:from>
      <xdr:col>27</xdr:col>
      <xdr:colOff>108858</xdr:colOff>
      <xdr:row>10</xdr:row>
      <xdr:rowOff>18142</xdr:rowOff>
    </xdr:from>
    <xdr:to>
      <xdr:col>27</xdr:col>
      <xdr:colOff>617085</xdr:colOff>
      <xdr:row>11</xdr:row>
      <xdr:rowOff>51707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7A3A8E-C8E9-45B8-8BC4-22762DAEA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56" t="8729" r="32283" b="3983"/>
        <a:stretch/>
      </xdr:blipFill>
      <xdr:spPr>
        <a:xfrm>
          <a:off x="11672208" y="7879442"/>
          <a:ext cx="508227" cy="979715"/>
        </a:xfrm>
        <a:prstGeom prst="rect">
          <a:avLst/>
        </a:prstGeom>
      </xdr:spPr>
    </xdr:pic>
    <xdr:clientData/>
  </xdr:twoCellAnchor>
  <xdr:twoCellAnchor editAs="oneCell">
    <xdr:from>
      <xdr:col>32</xdr:col>
      <xdr:colOff>107548</xdr:colOff>
      <xdr:row>10</xdr:row>
      <xdr:rowOff>29688</xdr:rowOff>
    </xdr:from>
    <xdr:to>
      <xdr:col>32</xdr:col>
      <xdr:colOff>612592</xdr:colOff>
      <xdr:row>11</xdr:row>
      <xdr:rowOff>68055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937AFE-8377-4EB4-8D47-BB19A9191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03" t="8555" r="32512" b="4341"/>
        <a:stretch/>
      </xdr:blipFill>
      <xdr:spPr>
        <a:xfrm>
          <a:off x="14763348" y="7890988"/>
          <a:ext cx="505044" cy="984517"/>
        </a:xfrm>
        <a:prstGeom prst="rect">
          <a:avLst/>
        </a:prstGeom>
      </xdr:spPr>
    </xdr:pic>
    <xdr:clientData/>
  </xdr:twoCellAnchor>
  <xdr:twoCellAnchor editAs="oneCell">
    <xdr:from>
      <xdr:col>37</xdr:col>
      <xdr:colOff>117928</xdr:colOff>
      <xdr:row>10</xdr:row>
      <xdr:rowOff>9071</xdr:rowOff>
    </xdr:from>
    <xdr:to>
      <xdr:col>37</xdr:col>
      <xdr:colOff>580571</xdr:colOff>
      <xdr:row>11</xdr:row>
      <xdr:rowOff>58840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61D721-95A3-4316-8B84-46AC96571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47" t="9891" r="34802" b="5577"/>
        <a:stretch/>
      </xdr:blipFill>
      <xdr:spPr>
        <a:xfrm>
          <a:off x="17961428" y="7870371"/>
          <a:ext cx="462643" cy="995919"/>
        </a:xfrm>
        <a:prstGeom prst="rect">
          <a:avLst/>
        </a:prstGeom>
      </xdr:spPr>
    </xdr:pic>
    <xdr:clientData/>
  </xdr:twoCellAnchor>
  <xdr:twoCellAnchor editAs="oneCell">
    <xdr:from>
      <xdr:col>1</xdr:col>
      <xdr:colOff>83912</xdr:colOff>
      <xdr:row>9</xdr:row>
      <xdr:rowOff>25367</xdr:rowOff>
    </xdr:from>
    <xdr:to>
      <xdr:col>1</xdr:col>
      <xdr:colOff>644072</xdr:colOff>
      <xdr:row>10</xdr:row>
      <xdr:rowOff>47171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98B14C4-F04F-434F-82F7-97F4E3508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61" t="12838" r="36856" b="8670"/>
        <a:stretch/>
      </xdr:blipFill>
      <xdr:spPr>
        <a:xfrm>
          <a:off x="1188812" y="6870667"/>
          <a:ext cx="560160" cy="967954"/>
        </a:xfrm>
        <a:prstGeom prst="rect">
          <a:avLst/>
        </a:prstGeom>
      </xdr:spPr>
    </xdr:pic>
    <xdr:clientData/>
  </xdr:twoCellAnchor>
  <xdr:twoCellAnchor editAs="oneCell">
    <xdr:from>
      <xdr:col>16</xdr:col>
      <xdr:colOff>81643</xdr:colOff>
      <xdr:row>9</xdr:row>
      <xdr:rowOff>18142</xdr:rowOff>
    </xdr:from>
    <xdr:to>
      <xdr:col>16</xdr:col>
      <xdr:colOff>558450</xdr:colOff>
      <xdr:row>10</xdr:row>
      <xdr:rowOff>42636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710F931-9723-477D-B03A-F9BED2DF1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32" t="10414" r="34977" b="4762"/>
        <a:stretch/>
      </xdr:blipFill>
      <xdr:spPr>
        <a:xfrm>
          <a:off x="4494893" y="6863442"/>
          <a:ext cx="476807" cy="970644"/>
        </a:xfrm>
        <a:prstGeom prst="rect">
          <a:avLst/>
        </a:prstGeom>
      </xdr:spPr>
    </xdr:pic>
    <xdr:clientData/>
  </xdr:twoCellAnchor>
  <xdr:twoCellAnchor editAs="oneCell">
    <xdr:from>
      <xdr:col>16</xdr:col>
      <xdr:colOff>79829</xdr:colOff>
      <xdr:row>8</xdr:row>
      <xdr:rowOff>34470</xdr:rowOff>
    </xdr:from>
    <xdr:to>
      <xdr:col>16</xdr:col>
      <xdr:colOff>556636</xdr:colOff>
      <xdr:row>9</xdr:row>
      <xdr:rowOff>58964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4518EB-DD3D-4F60-BF73-4684E90DC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32" t="10414" r="34977" b="4762"/>
        <a:stretch/>
      </xdr:blipFill>
      <xdr:spPr>
        <a:xfrm>
          <a:off x="4493079" y="5863770"/>
          <a:ext cx="476807" cy="970644"/>
        </a:xfrm>
        <a:prstGeom prst="rect">
          <a:avLst/>
        </a:prstGeom>
      </xdr:spPr>
    </xdr:pic>
    <xdr:clientData/>
  </xdr:twoCellAnchor>
  <xdr:twoCellAnchor editAs="oneCell">
    <xdr:from>
      <xdr:col>22</xdr:col>
      <xdr:colOff>79829</xdr:colOff>
      <xdr:row>9</xdr:row>
      <xdr:rowOff>16329</xdr:rowOff>
    </xdr:from>
    <xdr:to>
      <xdr:col>22</xdr:col>
      <xdr:colOff>561383</xdr:colOff>
      <xdr:row>10</xdr:row>
      <xdr:rowOff>49892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E25D594-8769-44C2-9BF6-019149756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54" t="8268" r="33328" b="4608"/>
        <a:stretch/>
      </xdr:blipFill>
      <xdr:spPr>
        <a:xfrm>
          <a:off x="8449129" y="6861629"/>
          <a:ext cx="481554" cy="979713"/>
        </a:xfrm>
        <a:prstGeom prst="rect">
          <a:avLst/>
        </a:prstGeom>
      </xdr:spPr>
    </xdr:pic>
    <xdr:clientData/>
  </xdr:twoCellAnchor>
  <xdr:twoCellAnchor editAs="oneCell">
    <xdr:from>
      <xdr:col>27</xdr:col>
      <xdr:colOff>92364</xdr:colOff>
      <xdr:row>9</xdr:row>
      <xdr:rowOff>10698</xdr:rowOff>
    </xdr:from>
    <xdr:to>
      <xdr:col>27</xdr:col>
      <xdr:colOff>577274</xdr:colOff>
      <xdr:row>10</xdr:row>
      <xdr:rowOff>46757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F98072-5D29-44FB-BF8D-A567AE1AF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7" t="9030" r="34244" b="6030"/>
        <a:stretch/>
      </xdr:blipFill>
      <xdr:spPr>
        <a:xfrm>
          <a:off x="11655714" y="6855998"/>
          <a:ext cx="484910" cy="982209"/>
        </a:xfrm>
        <a:prstGeom prst="rect">
          <a:avLst/>
        </a:prstGeom>
      </xdr:spPr>
    </xdr:pic>
    <xdr:clientData/>
  </xdr:twoCellAnchor>
  <xdr:twoCellAnchor editAs="oneCell">
    <xdr:from>
      <xdr:col>32</xdr:col>
      <xdr:colOff>115454</xdr:colOff>
      <xdr:row>9</xdr:row>
      <xdr:rowOff>20728</xdr:rowOff>
    </xdr:from>
    <xdr:to>
      <xdr:col>32</xdr:col>
      <xdr:colOff>565727</xdr:colOff>
      <xdr:row>10</xdr:row>
      <xdr:rowOff>46758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BEBA760-615A-407A-9845-A3ED54AE85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47" t="9505" r="35675" b="6498"/>
        <a:stretch/>
      </xdr:blipFill>
      <xdr:spPr>
        <a:xfrm>
          <a:off x="14771254" y="6866028"/>
          <a:ext cx="450273" cy="972180"/>
        </a:xfrm>
        <a:prstGeom prst="rect">
          <a:avLst/>
        </a:prstGeom>
      </xdr:spPr>
    </xdr:pic>
    <xdr:clientData/>
  </xdr:twoCellAnchor>
  <xdr:twoCellAnchor editAs="oneCell">
    <xdr:from>
      <xdr:col>52</xdr:col>
      <xdr:colOff>138545</xdr:colOff>
      <xdr:row>9</xdr:row>
      <xdr:rowOff>23090</xdr:rowOff>
    </xdr:from>
    <xdr:to>
      <xdr:col>52</xdr:col>
      <xdr:colOff>692728</xdr:colOff>
      <xdr:row>10</xdr:row>
      <xdr:rowOff>46256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5E8BA30-0AF3-458B-AAE9-025AAC9F1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12" t="9453" r="34672" b="9352"/>
        <a:stretch/>
      </xdr:blipFill>
      <xdr:spPr>
        <a:xfrm>
          <a:off x="26802195" y="6868390"/>
          <a:ext cx="554183" cy="969316"/>
        </a:xfrm>
        <a:prstGeom prst="rect">
          <a:avLst/>
        </a:prstGeom>
      </xdr:spPr>
    </xdr:pic>
    <xdr:clientData/>
  </xdr:twoCellAnchor>
  <xdr:twoCellAnchor editAs="oneCell">
    <xdr:from>
      <xdr:col>1</xdr:col>
      <xdr:colOff>92365</xdr:colOff>
      <xdr:row>8</xdr:row>
      <xdr:rowOff>11544</xdr:rowOff>
    </xdr:from>
    <xdr:to>
      <xdr:col>1</xdr:col>
      <xdr:colOff>578725</xdr:colOff>
      <xdr:row>9</xdr:row>
      <xdr:rowOff>58303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84028B2-24AF-46EA-BF1F-16DEDA4D2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620" t="9677" r="33852" b="4505"/>
        <a:stretch/>
      </xdr:blipFill>
      <xdr:spPr>
        <a:xfrm>
          <a:off x="1197265" y="5840844"/>
          <a:ext cx="486360" cy="992909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7</xdr:row>
      <xdr:rowOff>23090</xdr:rowOff>
    </xdr:from>
    <xdr:to>
      <xdr:col>1</xdr:col>
      <xdr:colOff>609703</xdr:colOff>
      <xdr:row>8</xdr:row>
      <xdr:rowOff>69849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1FABE7-F6E2-498E-AE19-703A56345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48" t="11083" r="33921" b="5800"/>
        <a:stretch/>
      </xdr:blipFill>
      <xdr:spPr>
        <a:xfrm>
          <a:off x="1220355" y="4836390"/>
          <a:ext cx="494248" cy="992909"/>
        </a:xfrm>
        <a:prstGeom prst="rect">
          <a:avLst/>
        </a:prstGeom>
      </xdr:spPr>
    </xdr:pic>
    <xdr:clientData/>
  </xdr:twoCellAnchor>
  <xdr:twoCellAnchor editAs="oneCell">
    <xdr:from>
      <xdr:col>16</xdr:col>
      <xdr:colOff>36287</xdr:colOff>
      <xdr:row>7</xdr:row>
      <xdr:rowOff>18142</xdr:rowOff>
    </xdr:from>
    <xdr:to>
      <xdr:col>16</xdr:col>
      <xdr:colOff>560646</xdr:colOff>
      <xdr:row>8</xdr:row>
      <xdr:rowOff>81029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13D235D-0EE1-41FF-A6B4-992D91AC2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13" t="1633" r="34486" b="1484"/>
        <a:stretch/>
      </xdr:blipFill>
      <xdr:spPr>
        <a:xfrm>
          <a:off x="4449537" y="4831442"/>
          <a:ext cx="524359" cy="1009037"/>
        </a:xfrm>
        <a:prstGeom prst="rect">
          <a:avLst/>
        </a:prstGeom>
      </xdr:spPr>
    </xdr:pic>
    <xdr:clientData/>
  </xdr:twoCellAnchor>
  <xdr:twoCellAnchor editAs="oneCell">
    <xdr:from>
      <xdr:col>1</xdr:col>
      <xdr:colOff>117929</xdr:colOff>
      <xdr:row>6</xdr:row>
      <xdr:rowOff>36285</xdr:rowOff>
    </xdr:from>
    <xdr:to>
      <xdr:col>1</xdr:col>
      <xdr:colOff>591692</xdr:colOff>
      <xdr:row>7</xdr:row>
      <xdr:rowOff>33565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E1EC0F7-D5B6-44E7-AC0B-701F488DA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3" t="10823" r="33802" b="6085"/>
        <a:stretch/>
      </xdr:blipFill>
      <xdr:spPr>
        <a:xfrm>
          <a:off x="1222829" y="3833585"/>
          <a:ext cx="473763" cy="943430"/>
        </a:xfrm>
        <a:prstGeom prst="rect">
          <a:avLst/>
        </a:prstGeom>
      </xdr:spPr>
    </xdr:pic>
    <xdr:clientData/>
  </xdr:twoCellAnchor>
  <xdr:twoCellAnchor editAs="oneCell">
    <xdr:from>
      <xdr:col>27</xdr:col>
      <xdr:colOff>99786</xdr:colOff>
      <xdr:row>6</xdr:row>
      <xdr:rowOff>18141</xdr:rowOff>
    </xdr:from>
    <xdr:to>
      <xdr:col>27</xdr:col>
      <xdr:colOff>624887</xdr:colOff>
      <xdr:row>7</xdr:row>
      <xdr:rowOff>60778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CDE9734-A49A-46DF-BAF7-50FF55F8F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35" t="9076" r="33128" b="4965"/>
        <a:stretch/>
      </xdr:blipFill>
      <xdr:spPr>
        <a:xfrm>
          <a:off x="11663136" y="3815441"/>
          <a:ext cx="525101" cy="988787"/>
        </a:xfrm>
        <a:prstGeom prst="rect">
          <a:avLst/>
        </a:prstGeom>
      </xdr:spPr>
    </xdr:pic>
    <xdr:clientData/>
  </xdr:twoCellAnchor>
  <xdr:twoCellAnchor editAs="oneCell">
    <xdr:from>
      <xdr:col>32</xdr:col>
      <xdr:colOff>63500</xdr:colOff>
      <xdr:row>6</xdr:row>
      <xdr:rowOff>9071</xdr:rowOff>
    </xdr:from>
    <xdr:to>
      <xdr:col>32</xdr:col>
      <xdr:colOff>602280</xdr:colOff>
      <xdr:row>7</xdr:row>
      <xdr:rowOff>60779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310E762-307E-43EB-81FF-AC5BB1F76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92" t="9445" r="32407" b="6099"/>
        <a:stretch/>
      </xdr:blipFill>
      <xdr:spPr>
        <a:xfrm>
          <a:off x="14719300" y="3806371"/>
          <a:ext cx="538780" cy="997858"/>
        </a:xfrm>
        <a:prstGeom prst="rect">
          <a:avLst/>
        </a:prstGeom>
      </xdr:spPr>
    </xdr:pic>
    <xdr:clientData/>
  </xdr:twoCellAnchor>
  <xdr:twoCellAnchor editAs="oneCell">
    <xdr:from>
      <xdr:col>32</xdr:col>
      <xdr:colOff>52614</xdr:colOff>
      <xdr:row>5</xdr:row>
      <xdr:rowOff>16327</xdr:rowOff>
    </xdr:from>
    <xdr:to>
      <xdr:col>32</xdr:col>
      <xdr:colOff>591394</xdr:colOff>
      <xdr:row>6</xdr:row>
      <xdr:rowOff>68035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8E8C2CA-F836-4067-BF83-1FB0BF6A1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92" t="9445" r="32407" b="6099"/>
        <a:stretch/>
      </xdr:blipFill>
      <xdr:spPr>
        <a:xfrm>
          <a:off x="14708414" y="2797627"/>
          <a:ext cx="538780" cy="997858"/>
        </a:xfrm>
        <a:prstGeom prst="rect">
          <a:avLst/>
        </a:prstGeom>
      </xdr:spPr>
    </xdr:pic>
    <xdr:clientData/>
  </xdr:twoCellAnchor>
  <xdr:twoCellAnchor editAs="oneCell">
    <xdr:from>
      <xdr:col>37</xdr:col>
      <xdr:colOff>45358</xdr:colOff>
      <xdr:row>6</xdr:row>
      <xdr:rowOff>18142</xdr:rowOff>
    </xdr:from>
    <xdr:to>
      <xdr:col>37</xdr:col>
      <xdr:colOff>563047</xdr:colOff>
      <xdr:row>7</xdr:row>
      <xdr:rowOff>60778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F7FD315-E55E-427B-84FA-5835E25CF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97" t="9564" r="32440" b="5471"/>
        <a:stretch/>
      </xdr:blipFill>
      <xdr:spPr>
        <a:xfrm>
          <a:off x="17888858" y="3815442"/>
          <a:ext cx="517689" cy="988786"/>
        </a:xfrm>
        <a:prstGeom prst="rect">
          <a:avLst/>
        </a:prstGeom>
      </xdr:spPr>
    </xdr:pic>
    <xdr:clientData/>
  </xdr:twoCellAnchor>
  <xdr:twoCellAnchor editAs="oneCell">
    <xdr:from>
      <xdr:col>52</xdr:col>
      <xdr:colOff>136071</xdr:colOff>
      <xdr:row>6</xdr:row>
      <xdr:rowOff>27213</xdr:rowOff>
    </xdr:from>
    <xdr:to>
      <xdr:col>52</xdr:col>
      <xdr:colOff>631557</xdr:colOff>
      <xdr:row>7</xdr:row>
      <xdr:rowOff>51706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B4DB55-28EF-466D-9E5C-DB71366D7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35" t="10031" r="34964" b="4815"/>
        <a:stretch/>
      </xdr:blipFill>
      <xdr:spPr>
        <a:xfrm>
          <a:off x="26799721" y="3824513"/>
          <a:ext cx="495486" cy="970643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5</xdr:row>
      <xdr:rowOff>9071</xdr:rowOff>
    </xdr:from>
    <xdr:to>
      <xdr:col>1</xdr:col>
      <xdr:colOff>605920</xdr:colOff>
      <xdr:row>6</xdr:row>
      <xdr:rowOff>33565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E5329CA-5068-430D-B010-06EE7C455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5" t="9129" r="31947" b="5679"/>
        <a:stretch/>
      </xdr:blipFill>
      <xdr:spPr>
        <a:xfrm>
          <a:off x="1177471" y="2790371"/>
          <a:ext cx="533349" cy="970644"/>
        </a:xfrm>
        <a:prstGeom prst="rect">
          <a:avLst/>
        </a:prstGeom>
      </xdr:spPr>
    </xdr:pic>
    <xdr:clientData/>
  </xdr:twoCellAnchor>
  <xdr:twoCellAnchor editAs="oneCell">
    <xdr:from>
      <xdr:col>22</xdr:col>
      <xdr:colOff>63500</xdr:colOff>
      <xdr:row>5</xdr:row>
      <xdr:rowOff>27214</xdr:rowOff>
    </xdr:from>
    <xdr:to>
      <xdr:col>22</xdr:col>
      <xdr:colOff>628521</xdr:colOff>
      <xdr:row>6</xdr:row>
      <xdr:rowOff>69850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3940243-884E-4122-859C-62093BF0A5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0" t="11345" r="31503" b="4009"/>
        <a:stretch/>
      </xdr:blipFill>
      <xdr:spPr>
        <a:xfrm>
          <a:off x="8432800" y="2808514"/>
          <a:ext cx="565021" cy="988786"/>
        </a:xfrm>
        <a:prstGeom prst="rect">
          <a:avLst/>
        </a:prstGeom>
      </xdr:spPr>
    </xdr:pic>
    <xdr:clientData/>
  </xdr:twoCellAnchor>
  <xdr:twoCellAnchor editAs="oneCell">
    <xdr:from>
      <xdr:col>47</xdr:col>
      <xdr:colOff>54428</xdr:colOff>
      <xdr:row>5</xdr:row>
      <xdr:rowOff>9071</xdr:rowOff>
    </xdr:from>
    <xdr:to>
      <xdr:col>47</xdr:col>
      <xdr:colOff>615401</xdr:colOff>
      <xdr:row>6</xdr:row>
      <xdr:rowOff>51707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D65BED1-9600-4E56-BA35-D32423DC46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28" t="9695" r="30381" b="5720"/>
        <a:stretch/>
      </xdr:blipFill>
      <xdr:spPr>
        <a:xfrm>
          <a:off x="24044728" y="2790371"/>
          <a:ext cx="560973" cy="988786"/>
        </a:xfrm>
        <a:prstGeom prst="rect">
          <a:avLst/>
        </a:prstGeom>
      </xdr:spPr>
    </xdr:pic>
    <xdr:clientData/>
  </xdr:twoCellAnchor>
  <xdr:twoCellAnchor editAs="oneCell">
    <xdr:from>
      <xdr:col>52</xdr:col>
      <xdr:colOff>72571</xdr:colOff>
      <xdr:row>5</xdr:row>
      <xdr:rowOff>9071</xdr:rowOff>
    </xdr:from>
    <xdr:to>
      <xdr:col>52</xdr:col>
      <xdr:colOff>667214</xdr:colOff>
      <xdr:row>6</xdr:row>
      <xdr:rowOff>69848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D651876-14F9-41F6-832A-2CC098DDD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91" t="9743" r="31741" b="5890"/>
        <a:stretch/>
      </xdr:blipFill>
      <xdr:spPr>
        <a:xfrm>
          <a:off x="26736221" y="2790371"/>
          <a:ext cx="594643" cy="100692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63502</xdr:colOff>
      <xdr:row>4</xdr:row>
      <xdr:rowOff>44004</xdr:rowOff>
    </xdr:from>
    <xdr:to>
      <xdr:col>1</xdr:col>
      <xdr:colOff>562430</xdr:colOff>
      <xdr:row>5</xdr:row>
      <xdr:rowOff>15422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0FA6F1C-5255-4A54-929E-F4CAF2F42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65" t="9247" r="31855" b="4731"/>
        <a:stretch/>
      </xdr:blipFill>
      <xdr:spPr>
        <a:xfrm>
          <a:off x="1168402" y="1809304"/>
          <a:ext cx="498928" cy="917568"/>
        </a:xfrm>
        <a:prstGeom prst="rect">
          <a:avLst/>
        </a:prstGeom>
      </xdr:spPr>
    </xdr:pic>
    <xdr:clientData/>
  </xdr:twoCellAnchor>
  <xdr:twoCellAnchor editAs="oneCell">
    <xdr:from>
      <xdr:col>27</xdr:col>
      <xdr:colOff>90715</xdr:colOff>
      <xdr:row>4</xdr:row>
      <xdr:rowOff>45358</xdr:rowOff>
    </xdr:from>
    <xdr:to>
      <xdr:col>27</xdr:col>
      <xdr:colOff>598028</xdr:colOff>
      <xdr:row>5</xdr:row>
      <xdr:rowOff>33564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75DBF3A-16CD-4401-8F1B-8D68AC8CB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40" t="9956" r="32158" b="4582"/>
        <a:stretch/>
      </xdr:blipFill>
      <xdr:spPr>
        <a:xfrm>
          <a:off x="11654065" y="1810658"/>
          <a:ext cx="507313" cy="934356"/>
        </a:xfrm>
        <a:prstGeom prst="rect">
          <a:avLst/>
        </a:prstGeom>
      </xdr:spPr>
    </xdr:pic>
    <xdr:clientData/>
  </xdr:twoCellAnchor>
  <xdr:twoCellAnchor editAs="oneCell">
    <xdr:from>
      <xdr:col>1</xdr:col>
      <xdr:colOff>72573</xdr:colOff>
      <xdr:row>3</xdr:row>
      <xdr:rowOff>27213</xdr:rowOff>
    </xdr:from>
    <xdr:to>
      <xdr:col>1</xdr:col>
      <xdr:colOff>598715</xdr:colOff>
      <xdr:row>4</xdr:row>
      <xdr:rowOff>26431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DF7A7DF-DE38-49EB-804F-291C6866F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38" t="9273" r="31878" b="5718"/>
        <a:stretch/>
      </xdr:blipFill>
      <xdr:spPr>
        <a:xfrm>
          <a:off x="1177473" y="776513"/>
          <a:ext cx="526142" cy="945368"/>
        </a:xfrm>
        <a:prstGeom prst="rect">
          <a:avLst/>
        </a:prstGeom>
      </xdr:spPr>
    </xdr:pic>
    <xdr:clientData/>
  </xdr:twoCellAnchor>
  <xdr:twoCellAnchor editAs="oneCell">
    <xdr:from>
      <xdr:col>42</xdr:col>
      <xdr:colOff>117927</xdr:colOff>
      <xdr:row>8</xdr:row>
      <xdr:rowOff>63499</xdr:rowOff>
    </xdr:from>
    <xdr:to>
      <xdr:col>42</xdr:col>
      <xdr:colOff>609796</xdr:colOff>
      <xdr:row>9</xdr:row>
      <xdr:rowOff>58511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3FDCC58-A0E9-4E42-9D8A-685D464B1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32" t="9273" r="32138" b="5135"/>
        <a:stretch/>
      </xdr:blipFill>
      <xdr:spPr>
        <a:xfrm>
          <a:off x="20888777" y="5892799"/>
          <a:ext cx="491869" cy="941162"/>
        </a:xfrm>
        <a:prstGeom prst="rect">
          <a:avLst/>
        </a:prstGeom>
      </xdr:spPr>
    </xdr:pic>
    <xdr:clientData/>
  </xdr:twoCellAnchor>
  <xdr:twoCellAnchor editAs="oneCell">
    <xdr:from>
      <xdr:col>42</xdr:col>
      <xdr:colOff>36286</xdr:colOff>
      <xdr:row>4</xdr:row>
      <xdr:rowOff>35925</xdr:rowOff>
    </xdr:from>
    <xdr:to>
      <xdr:col>42</xdr:col>
      <xdr:colOff>607786</xdr:colOff>
      <xdr:row>5</xdr:row>
      <xdr:rowOff>51706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45F1CFD-92E9-407A-8F8B-BE9FF10EE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37" t="11063" r="31728" b="7167"/>
        <a:stretch/>
      </xdr:blipFill>
      <xdr:spPr>
        <a:xfrm>
          <a:off x="20807136" y="1801225"/>
          <a:ext cx="571500" cy="961931"/>
        </a:xfrm>
        <a:prstGeom prst="rect">
          <a:avLst/>
        </a:prstGeom>
      </xdr:spPr>
    </xdr:pic>
    <xdr:clientData/>
  </xdr:twoCellAnchor>
  <xdr:twoCellAnchor editAs="oneCell">
    <xdr:from>
      <xdr:col>42</xdr:col>
      <xdr:colOff>90714</xdr:colOff>
      <xdr:row>7</xdr:row>
      <xdr:rowOff>36285</xdr:rowOff>
    </xdr:from>
    <xdr:to>
      <xdr:col>42</xdr:col>
      <xdr:colOff>544026</xdr:colOff>
      <xdr:row>8</xdr:row>
      <xdr:rowOff>51707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1C418B3-20FE-486A-AD1A-C8BC0B2B0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94" t="9645" r="34766" b="5960"/>
        <a:stretch/>
      </xdr:blipFill>
      <xdr:spPr>
        <a:xfrm>
          <a:off x="20861564" y="4849585"/>
          <a:ext cx="453312" cy="961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97F1-8F23-40EF-BD35-846A45CE15D8}">
  <dimension ref="A1:BE20"/>
  <sheetViews>
    <sheetView tabSelected="1" workbookViewId="0">
      <selection activeCell="Q1" sqref="Q1"/>
    </sheetView>
  </sheetViews>
  <sheetFormatPr defaultRowHeight="74.5" customHeight="1" x14ac:dyDescent="0.35"/>
  <cols>
    <col min="1" max="1" width="15.81640625" style="43" customWidth="1"/>
    <col min="2" max="2" width="10.1796875" style="44" customWidth="1"/>
    <col min="3" max="3" width="16.453125" style="45" customWidth="1"/>
    <col min="4" max="4" width="5.453125" style="45" bestFit="1" customWidth="1"/>
    <col min="5" max="5" width="15.26953125" style="46" bestFit="1" customWidth="1"/>
    <col min="6" max="6" width="8.81640625" style="46" hidden="1" customWidth="1"/>
    <col min="7" max="7" width="12.90625" style="45" hidden="1" customWidth="1"/>
    <col min="8" max="8" width="5.453125" style="45" hidden="1" customWidth="1"/>
    <col min="9" max="9" width="15.6328125" style="47" hidden="1" customWidth="1"/>
    <col min="10" max="10" width="8.81640625" style="47" hidden="1" customWidth="1"/>
    <col min="11" max="11" width="8.81640625" style="48" hidden="1" customWidth="1"/>
    <col min="12" max="12" width="9.81640625" style="44" hidden="1" customWidth="1"/>
    <col min="13" max="13" width="8.81640625" style="45" hidden="1" customWidth="1"/>
    <col min="14" max="14" width="5.453125" style="45" hidden="1" customWidth="1"/>
    <col min="15" max="15" width="8.81640625" style="49" hidden="1" customWidth="1"/>
    <col min="16" max="16" width="8.81640625" style="50" hidden="1" customWidth="1"/>
    <col min="17" max="17" width="8.81640625" style="44" customWidth="1"/>
    <col min="18" max="18" width="10.1796875" style="45" bestFit="1" customWidth="1"/>
    <col min="19" max="19" width="5.453125" style="46" bestFit="1" customWidth="1"/>
    <col min="20" max="20" width="14.90625" style="46" bestFit="1" customWidth="1"/>
    <col min="21" max="21" width="8.6328125" style="47" bestFit="1" customWidth="1"/>
    <col min="22" max="22" width="8.6328125" style="47" customWidth="1"/>
    <col min="23" max="23" width="9.7265625" style="44" customWidth="1"/>
    <col min="24" max="24" width="12.90625" style="45" bestFit="1" customWidth="1"/>
    <col min="25" max="25" width="5.453125" style="45" bestFit="1" customWidth="1"/>
    <col min="26" max="26" width="8.81640625" style="49" bestFit="1" customWidth="1"/>
    <col min="27" max="27" width="8.81640625" style="49" customWidth="1"/>
    <col min="28" max="28" width="10.08984375" style="44" customWidth="1"/>
    <col min="29" max="29" width="12.08984375" style="45" customWidth="1"/>
    <col min="30" max="30" width="5.453125" style="45" bestFit="1" customWidth="1"/>
    <col min="31" max="31" width="8.6328125" style="49" bestFit="1" customWidth="1"/>
    <col min="32" max="32" width="8" style="49" customWidth="1"/>
    <col min="33" max="33" width="10" style="51" customWidth="1"/>
    <col min="34" max="34" width="12.7265625" style="46" customWidth="1"/>
    <col min="35" max="35" width="5.453125" style="46" bestFit="1" customWidth="1"/>
    <col min="36" max="36" width="9.453125" style="49" customWidth="1"/>
    <col min="37" max="37" width="8" style="49" customWidth="1"/>
    <col min="38" max="38" width="9.7265625" style="44" customWidth="1"/>
    <col min="39" max="39" width="10.08984375" style="45" bestFit="1" customWidth="1"/>
    <col min="40" max="40" width="5.453125" style="45" bestFit="1" customWidth="1"/>
    <col min="41" max="41" width="8.6328125" style="49" bestFit="1" customWidth="1"/>
    <col min="42" max="42" width="8" style="49" customWidth="1"/>
    <col min="43" max="43" width="9.54296875" style="44" customWidth="1"/>
    <col min="44" max="44" width="13.453125" style="45" customWidth="1"/>
    <col min="45" max="45" width="5.453125" style="45" bestFit="1" customWidth="1"/>
    <col min="46" max="46" width="8.81640625" style="49" bestFit="1" customWidth="1"/>
    <col min="47" max="47" width="8.81640625" style="49" customWidth="1"/>
    <col min="48" max="48" width="9.7265625" style="44" customWidth="1"/>
    <col min="49" max="49" width="7.08984375" style="45" bestFit="1" customWidth="1"/>
    <col min="50" max="50" width="5.453125" style="45" bestFit="1" customWidth="1"/>
    <col min="51" max="51" width="8" style="49" bestFit="1" customWidth="1"/>
    <col min="52" max="52" width="8" style="49" customWidth="1"/>
    <col min="53" max="53" width="11.08984375" style="44" customWidth="1"/>
    <col min="54" max="54" width="10.08984375" style="49" bestFit="1" customWidth="1"/>
    <col min="55" max="55" width="4.90625" style="44" bestFit="1" customWidth="1"/>
    <col min="56" max="56" width="8.81640625" style="49" bestFit="1" customWidth="1"/>
    <col min="57" max="57" width="4.1796875" style="44" bestFit="1" customWidth="1"/>
  </cols>
  <sheetData>
    <row r="1" spans="1:57" s="8" customFormat="1" ht="74.5" customHeight="1" x14ac:dyDescent="0.5">
      <c r="A1" s="1" t="s">
        <v>0</v>
      </c>
      <c r="B1" s="2"/>
      <c r="C1" s="2"/>
      <c r="D1" s="2"/>
      <c r="E1" s="3"/>
      <c r="F1" s="3"/>
      <c r="G1" s="4"/>
      <c r="H1" s="4"/>
      <c r="I1" s="3"/>
      <c r="J1" s="3"/>
      <c r="K1" s="5"/>
      <c r="L1" s="2"/>
      <c r="M1" s="1"/>
      <c r="N1" s="4"/>
      <c r="O1" s="3"/>
      <c r="P1" s="5"/>
      <c r="Q1" s="2"/>
      <c r="R1" s="1"/>
      <c r="S1" s="6"/>
      <c r="T1" s="6"/>
      <c r="U1" s="3"/>
      <c r="V1" s="3"/>
      <c r="W1" s="2"/>
      <c r="X1" s="1"/>
      <c r="Y1" s="1"/>
      <c r="Z1" s="3"/>
      <c r="AA1" s="3"/>
      <c r="AB1" s="2"/>
      <c r="AC1" s="1"/>
      <c r="AD1" s="1"/>
      <c r="AE1" s="3"/>
      <c r="AF1" s="3"/>
      <c r="AG1" s="7"/>
      <c r="AH1" s="3"/>
      <c r="AI1" s="3"/>
      <c r="AJ1" s="3"/>
      <c r="AK1" s="3"/>
      <c r="AL1" s="2"/>
      <c r="AM1" s="1"/>
      <c r="AN1" s="1"/>
      <c r="AO1" s="3"/>
      <c r="AP1" s="3"/>
      <c r="AQ1" s="2"/>
      <c r="AR1" s="1"/>
      <c r="AS1" s="1"/>
      <c r="AT1" s="3"/>
      <c r="AU1" s="3"/>
      <c r="AV1" s="2"/>
      <c r="AW1" s="1"/>
      <c r="AX1" s="1"/>
      <c r="AY1" s="3"/>
      <c r="AZ1" s="3"/>
      <c r="BA1" s="2"/>
      <c r="BB1" s="3"/>
      <c r="BC1" s="2"/>
      <c r="BD1" s="3"/>
      <c r="BE1" s="2"/>
    </row>
    <row r="2" spans="1:57" s="10" customFormat="1" ht="74.5" customHeight="1" x14ac:dyDescent="0.35">
      <c r="A2" s="9" t="s">
        <v>1</v>
      </c>
      <c r="B2" s="9" t="s">
        <v>2</v>
      </c>
      <c r="C2" s="9"/>
      <c r="D2" s="9"/>
      <c r="E2" s="9"/>
      <c r="F2" s="9" t="s">
        <v>3</v>
      </c>
      <c r="G2" s="9"/>
      <c r="H2" s="9"/>
      <c r="I2" s="9"/>
      <c r="J2" s="9"/>
      <c r="K2" s="9"/>
      <c r="L2" s="9" t="s">
        <v>4</v>
      </c>
      <c r="M2" s="9"/>
      <c r="N2" s="9"/>
      <c r="O2" s="9"/>
      <c r="P2" s="9"/>
      <c r="Q2" s="9" t="s">
        <v>5</v>
      </c>
      <c r="R2" s="9"/>
      <c r="S2" s="9"/>
      <c r="T2" s="9"/>
      <c r="U2" s="9"/>
      <c r="V2" s="9"/>
      <c r="W2" s="9" t="s">
        <v>6</v>
      </c>
      <c r="X2" s="9"/>
      <c r="Y2" s="9"/>
      <c r="Z2" s="9"/>
      <c r="AA2" s="9"/>
      <c r="AB2" s="9" t="s">
        <v>7</v>
      </c>
      <c r="AC2" s="9"/>
      <c r="AD2" s="9"/>
      <c r="AE2" s="9"/>
      <c r="AF2" s="9"/>
      <c r="AG2" s="9" t="s">
        <v>8</v>
      </c>
      <c r="AH2" s="9"/>
      <c r="AI2" s="9"/>
      <c r="AJ2" s="9"/>
      <c r="AK2" s="9"/>
      <c r="AL2" s="9" t="s">
        <v>9</v>
      </c>
      <c r="AM2" s="9"/>
      <c r="AN2" s="9"/>
      <c r="AO2" s="9"/>
      <c r="AP2" s="9"/>
      <c r="AQ2" s="9" t="s">
        <v>10</v>
      </c>
      <c r="AR2" s="9"/>
      <c r="AS2" s="9"/>
      <c r="AT2" s="9"/>
      <c r="AU2" s="9"/>
      <c r="AV2" s="9" t="s">
        <v>11</v>
      </c>
      <c r="AW2" s="9"/>
      <c r="AX2" s="9"/>
      <c r="AY2" s="9"/>
      <c r="AZ2" s="9"/>
      <c r="BA2" s="9" t="s">
        <v>12</v>
      </c>
      <c r="BB2" s="9"/>
      <c r="BC2" s="9"/>
      <c r="BD2" s="9"/>
      <c r="BE2" s="9"/>
    </row>
    <row r="3" spans="1:57" s="10" customFormat="1" ht="74.5" customHeight="1" x14ac:dyDescent="0.35">
      <c r="A3" s="9"/>
      <c r="B3" s="11" t="s">
        <v>13</v>
      </c>
      <c r="C3" s="11" t="s">
        <v>14</v>
      </c>
      <c r="D3" s="11" t="s">
        <v>15</v>
      </c>
      <c r="E3" s="11" t="s">
        <v>16</v>
      </c>
      <c r="F3" s="11" t="s">
        <v>13</v>
      </c>
      <c r="G3" s="11" t="s">
        <v>14</v>
      </c>
      <c r="H3" s="11" t="s">
        <v>15</v>
      </c>
      <c r="I3" s="11" t="s">
        <v>17</v>
      </c>
      <c r="J3" s="11" t="s">
        <v>16</v>
      </c>
      <c r="K3" s="12" t="s">
        <v>18</v>
      </c>
      <c r="L3" s="11" t="s">
        <v>13</v>
      </c>
      <c r="M3" s="11" t="s">
        <v>14</v>
      </c>
      <c r="N3" s="11" t="s">
        <v>15</v>
      </c>
      <c r="O3" s="11" t="s">
        <v>16</v>
      </c>
      <c r="P3" s="12" t="s">
        <v>18</v>
      </c>
      <c r="Q3" s="11" t="s">
        <v>13</v>
      </c>
      <c r="R3" s="11" t="s">
        <v>14</v>
      </c>
      <c r="S3" s="11" t="s">
        <v>15</v>
      </c>
      <c r="T3" s="11" t="s">
        <v>17</v>
      </c>
      <c r="U3" s="11" t="s">
        <v>16</v>
      </c>
      <c r="V3" s="11" t="s">
        <v>18</v>
      </c>
      <c r="W3" s="11" t="s">
        <v>13</v>
      </c>
      <c r="X3" s="11" t="s">
        <v>14</v>
      </c>
      <c r="Y3" s="11" t="s">
        <v>15</v>
      </c>
      <c r="Z3" s="11" t="s">
        <v>16</v>
      </c>
      <c r="AA3" s="11" t="s">
        <v>18</v>
      </c>
      <c r="AB3" s="11" t="s">
        <v>13</v>
      </c>
      <c r="AC3" s="11" t="s">
        <v>14</v>
      </c>
      <c r="AD3" s="11" t="s">
        <v>15</v>
      </c>
      <c r="AE3" s="11" t="s">
        <v>16</v>
      </c>
      <c r="AF3" s="11" t="s">
        <v>18</v>
      </c>
      <c r="AG3" s="11" t="s">
        <v>13</v>
      </c>
      <c r="AH3" s="11" t="s">
        <v>14</v>
      </c>
      <c r="AI3" s="11" t="s">
        <v>15</v>
      </c>
      <c r="AJ3" s="11" t="s">
        <v>16</v>
      </c>
      <c r="AK3" s="11" t="s">
        <v>18</v>
      </c>
      <c r="AL3" s="11" t="s">
        <v>13</v>
      </c>
      <c r="AM3" s="11" t="s">
        <v>14</v>
      </c>
      <c r="AN3" s="11" t="s">
        <v>15</v>
      </c>
      <c r="AO3" s="11" t="s">
        <v>16</v>
      </c>
      <c r="AP3" s="11" t="s">
        <v>18</v>
      </c>
      <c r="AQ3" s="11" t="s">
        <v>13</v>
      </c>
      <c r="AR3" s="11" t="s">
        <v>14</v>
      </c>
      <c r="AS3" s="11" t="s">
        <v>15</v>
      </c>
      <c r="AT3" s="11" t="s">
        <v>16</v>
      </c>
      <c r="AU3" s="11" t="s">
        <v>18</v>
      </c>
      <c r="AV3" s="11" t="s">
        <v>13</v>
      </c>
      <c r="AW3" s="11" t="s">
        <v>14</v>
      </c>
      <c r="AX3" s="11" t="s">
        <v>15</v>
      </c>
      <c r="AY3" s="11" t="s">
        <v>16</v>
      </c>
      <c r="AZ3" s="11" t="s">
        <v>18</v>
      </c>
      <c r="BA3" s="11" t="s">
        <v>13</v>
      </c>
      <c r="BB3" s="11" t="s">
        <v>14</v>
      </c>
      <c r="BC3" s="11" t="s">
        <v>15</v>
      </c>
      <c r="BD3" s="11" t="s">
        <v>16</v>
      </c>
      <c r="BE3" s="11" t="s">
        <v>18</v>
      </c>
    </row>
    <row r="4" spans="1:57" ht="74.5" customHeight="1" x14ac:dyDescent="0.35">
      <c r="A4" s="13" t="s">
        <v>19</v>
      </c>
      <c r="B4" s="14"/>
      <c r="C4" s="15" t="s">
        <v>20</v>
      </c>
      <c r="D4" s="15" t="s">
        <v>21</v>
      </c>
      <c r="E4" s="16">
        <v>19119000</v>
      </c>
      <c r="F4" s="16" t="e">
        <v>#VALUE!</v>
      </c>
      <c r="G4" s="17" t="s">
        <v>22</v>
      </c>
      <c r="H4" s="17" t="s">
        <v>23</v>
      </c>
      <c r="I4" s="18" t="s">
        <v>24</v>
      </c>
      <c r="J4" s="18">
        <v>17799000</v>
      </c>
      <c r="K4" s="19">
        <f>IFERROR($E4/J4,"")</f>
        <v>1.0741614697454913</v>
      </c>
      <c r="L4" s="20" t="e">
        <v>#VALUE!</v>
      </c>
      <c r="M4" s="17" t="s">
        <v>25</v>
      </c>
      <c r="N4" s="17" t="s">
        <v>26</v>
      </c>
      <c r="O4" s="21">
        <v>14609000</v>
      </c>
      <c r="P4" s="19">
        <f>IFERROR($E4/O4,"")</f>
        <v>1.3087138065576014</v>
      </c>
      <c r="Q4" s="22"/>
      <c r="R4" s="22"/>
      <c r="S4" s="16"/>
      <c r="T4" s="16"/>
      <c r="U4" s="23"/>
      <c r="V4" s="19" t="str">
        <f>IFERROR($E4/U4,"")</f>
        <v/>
      </c>
      <c r="W4" s="17"/>
      <c r="X4" s="17"/>
      <c r="Y4" s="17"/>
      <c r="Z4" s="21"/>
      <c r="AA4" s="19" t="str">
        <f>IFERROR($E4/Z4,"")</f>
        <v/>
      </c>
      <c r="AB4" s="24"/>
      <c r="AC4" s="22"/>
      <c r="AD4" s="22"/>
      <c r="AE4" s="21"/>
      <c r="AF4" s="19" t="str">
        <f>IFERROR($E4/AE4,"")</f>
        <v/>
      </c>
      <c r="AG4" s="25"/>
      <c r="AH4" s="16"/>
      <c r="AI4" s="16"/>
      <c r="AJ4" s="21"/>
      <c r="AK4" s="19" t="str">
        <f>IFERROR($E4/AJ4,"")</f>
        <v/>
      </c>
      <c r="AL4" s="24"/>
      <c r="AM4" s="22"/>
      <c r="AN4" s="22"/>
      <c r="AO4" s="21"/>
      <c r="AP4" s="19" t="str">
        <f>IFERROR($E4/AO4,"")</f>
        <v/>
      </c>
      <c r="AQ4" s="24"/>
      <c r="AR4" s="22"/>
      <c r="AS4" s="22"/>
      <c r="AT4" s="21"/>
      <c r="AU4" s="19" t="str">
        <f>IFERROR($E4/AT4,"")</f>
        <v/>
      </c>
      <c r="AV4" s="24"/>
      <c r="AW4" s="22"/>
      <c r="AX4" s="22"/>
      <c r="AY4" s="21"/>
      <c r="AZ4" s="19" t="str">
        <f>IFERROR($E4/AY4,"")</f>
        <v/>
      </c>
      <c r="BA4" s="22"/>
      <c r="BB4" s="16"/>
      <c r="BC4" s="22"/>
      <c r="BD4" s="16"/>
      <c r="BE4" s="26" t="str">
        <f>IFERROR($E4/BD4,"")</f>
        <v/>
      </c>
    </row>
    <row r="5" spans="1:57" ht="74.5" customHeight="1" x14ac:dyDescent="0.35">
      <c r="A5" s="13" t="s">
        <v>19</v>
      </c>
      <c r="B5" s="14"/>
      <c r="C5" s="15" t="s">
        <v>27</v>
      </c>
      <c r="D5" s="15" t="s">
        <v>28</v>
      </c>
      <c r="E5" s="16">
        <v>10259000</v>
      </c>
      <c r="F5" s="16" t="e">
        <v>#VALUE!</v>
      </c>
      <c r="G5" s="27" t="s">
        <v>29</v>
      </c>
      <c r="H5" s="27" t="s">
        <v>30</v>
      </c>
      <c r="I5" s="18" t="s">
        <v>31</v>
      </c>
      <c r="J5" s="18">
        <v>14099000</v>
      </c>
      <c r="K5" s="19">
        <f t="shared" ref="K5:K14" si="0">IFERROR($E5/J5,"")</f>
        <v>0.72764025817433864</v>
      </c>
      <c r="L5" s="20" t="e">
        <v>#VALUE!</v>
      </c>
      <c r="M5" s="17" t="s">
        <v>32</v>
      </c>
      <c r="N5" s="17" t="s">
        <v>33</v>
      </c>
      <c r="O5" s="21">
        <v>13149000</v>
      </c>
      <c r="P5" s="19">
        <f t="shared" ref="P5:P14" si="1">IFERROR($E5/O5,"")</f>
        <v>0.78021142292189516</v>
      </c>
      <c r="Q5" s="22"/>
      <c r="R5" s="22"/>
      <c r="S5" s="16"/>
      <c r="T5" s="16"/>
      <c r="U5" s="23"/>
      <c r="V5" s="19" t="str">
        <f t="shared" ref="V5:V20" si="2">IFERROR($E5/U5,"")</f>
        <v/>
      </c>
      <c r="W5" s="17"/>
      <c r="X5" s="17"/>
      <c r="Y5" s="17"/>
      <c r="Z5" s="21"/>
      <c r="AA5" s="19" t="str">
        <f t="shared" ref="AA5:AA20" si="3">IFERROR($E5/Z5,"")</f>
        <v/>
      </c>
      <c r="AB5" s="24"/>
      <c r="AC5" s="28" t="s">
        <v>34</v>
      </c>
      <c r="AD5" s="22" t="s">
        <v>35</v>
      </c>
      <c r="AE5" s="21">
        <v>8799000</v>
      </c>
      <c r="AF5" s="19">
        <f t="shared" ref="AF5:AF14" si="4">IFERROR($E5/AE5,"")</f>
        <v>1.1659279463575407</v>
      </c>
      <c r="AG5" s="25"/>
      <c r="AH5" s="16"/>
      <c r="AI5" s="16"/>
      <c r="AJ5" s="21"/>
      <c r="AK5" s="19" t="str">
        <f t="shared" ref="AK5:AK14" si="5">IFERROR($E5/AJ5,"")</f>
        <v/>
      </c>
      <c r="AL5" s="24"/>
      <c r="AM5" s="22"/>
      <c r="AN5" s="22"/>
      <c r="AO5" s="21"/>
      <c r="AP5" s="19" t="str">
        <f t="shared" ref="AP5:AP14" si="6">IFERROR($E5/AO5,"")</f>
        <v/>
      </c>
      <c r="AQ5" s="24"/>
      <c r="AR5" s="29" t="s">
        <v>36</v>
      </c>
      <c r="AS5" s="22" t="s">
        <v>37</v>
      </c>
      <c r="AT5" s="21">
        <v>8599000</v>
      </c>
      <c r="AU5" s="19">
        <f t="shared" ref="AU5:AU13" si="7">IFERROR($E5/AT5,"")</f>
        <v>1.1930457029887196</v>
      </c>
      <c r="AV5" s="24"/>
      <c r="AW5" s="22"/>
      <c r="AX5" s="22"/>
      <c r="AY5" s="21"/>
      <c r="AZ5" s="19" t="str">
        <f t="shared" ref="AZ5:AZ14" si="8">IFERROR($E5/AY5,"")</f>
        <v/>
      </c>
      <c r="BA5" s="22"/>
      <c r="BB5" s="16"/>
      <c r="BC5" s="22"/>
      <c r="BD5" s="16"/>
      <c r="BE5" s="26" t="str">
        <f t="shared" ref="BE5:BE20" si="9">IFERROR($E5/BD5,"")</f>
        <v/>
      </c>
    </row>
    <row r="6" spans="1:57" ht="74.5" customHeight="1" x14ac:dyDescent="0.35">
      <c r="A6" s="13" t="s">
        <v>19</v>
      </c>
      <c r="B6" s="14"/>
      <c r="C6" s="15" t="s">
        <v>38</v>
      </c>
      <c r="D6" s="15" t="s">
        <v>39</v>
      </c>
      <c r="E6" s="16">
        <v>10439000</v>
      </c>
      <c r="F6" s="16" t="e">
        <v>#VALUE!</v>
      </c>
      <c r="G6" s="17" t="s">
        <v>40</v>
      </c>
      <c r="H6" s="17" t="s">
        <v>41</v>
      </c>
      <c r="I6" s="18" t="s">
        <v>42</v>
      </c>
      <c r="J6" s="18">
        <v>10249000</v>
      </c>
      <c r="K6" s="19">
        <f t="shared" si="0"/>
        <v>1.0185383939896575</v>
      </c>
      <c r="L6" s="20" t="e">
        <v>#VALUE!</v>
      </c>
      <c r="M6" s="17" t="s">
        <v>43</v>
      </c>
      <c r="N6" s="17" t="s">
        <v>44</v>
      </c>
      <c r="O6" s="21">
        <v>11559000</v>
      </c>
      <c r="P6" s="19">
        <f t="shared" si="1"/>
        <v>0.90310580500043258</v>
      </c>
      <c r="Q6" s="17"/>
      <c r="R6" s="17"/>
      <c r="S6" s="30"/>
      <c r="T6" s="30"/>
      <c r="U6" s="30"/>
      <c r="V6" s="19" t="str">
        <f t="shared" si="2"/>
        <v/>
      </c>
      <c r="W6" s="17"/>
      <c r="X6" s="17" t="s">
        <v>45</v>
      </c>
      <c r="Y6" s="17" t="s">
        <v>46</v>
      </c>
      <c r="Z6" s="21">
        <v>9499000</v>
      </c>
      <c r="AA6" s="19">
        <f t="shared" si="3"/>
        <v>1.0989577850300032</v>
      </c>
      <c r="AB6" s="24"/>
      <c r="AC6" s="22"/>
      <c r="AD6" s="22"/>
      <c r="AE6" s="21"/>
      <c r="AF6" s="19" t="str">
        <f t="shared" si="4"/>
        <v/>
      </c>
      <c r="AG6" s="31"/>
      <c r="AH6" s="30" t="s">
        <v>47</v>
      </c>
      <c r="AI6" s="30" t="s">
        <v>48</v>
      </c>
      <c r="AJ6" s="16">
        <v>6999000</v>
      </c>
      <c r="AK6" s="19">
        <f t="shared" si="5"/>
        <v>1.4914987855407915</v>
      </c>
      <c r="AL6" s="20"/>
      <c r="AM6" s="17"/>
      <c r="AN6" s="17"/>
      <c r="AO6" s="21"/>
      <c r="AP6" s="19" t="str">
        <f t="shared" si="6"/>
        <v/>
      </c>
      <c r="AQ6" s="20"/>
      <c r="AR6" s="17"/>
      <c r="AS6" s="17"/>
      <c r="AT6" s="21"/>
      <c r="AU6" s="19" t="str">
        <f t="shared" si="7"/>
        <v/>
      </c>
      <c r="AV6" s="20"/>
      <c r="AW6" s="17" t="s">
        <v>49</v>
      </c>
      <c r="AX6" s="17" t="s">
        <v>50</v>
      </c>
      <c r="AY6" s="21">
        <v>8259000</v>
      </c>
      <c r="AZ6" s="19">
        <f t="shared" si="8"/>
        <v>1.2639544739072528</v>
      </c>
      <c r="BA6" s="17"/>
      <c r="BB6" s="16" t="s">
        <v>51</v>
      </c>
      <c r="BC6" s="17">
        <v>550</v>
      </c>
      <c r="BD6" s="16">
        <v>6799000</v>
      </c>
      <c r="BE6" s="26">
        <f t="shared" si="9"/>
        <v>1.5353728489483747</v>
      </c>
    </row>
    <row r="7" spans="1:57" ht="74.5" customHeight="1" x14ac:dyDescent="0.35">
      <c r="A7" s="13" t="s">
        <v>19</v>
      </c>
      <c r="B7" s="14"/>
      <c r="C7" s="15" t="s">
        <v>52</v>
      </c>
      <c r="D7" s="15" t="s">
        <v>53</v>
      </c>
      <c r="E7" s="16">
        <v>8959000</v>
      </c>
      <c r="F7" s="16"/>
      <c r="G7" s="22"/>
      <c r="H7" s="22"/>
      <c r="I7" s="23"/>
      <c r="J7" s="23"/>
      <c r="K7" s="19" t="str">
        <f t="shared" si="0"/>
        <v/>
      </c>
      <c r="L7" s="20" t="e">
        <v>#VALUE!</v>
      </c>
      <c r="M7" s="17" t="s">
        <v>54</v>
      </c>
      <c r="N7" s="17" t="s">
        <v>55</v>
      </c>
      <c r="O7" s="21">
        <v>8979000</v>
      </c>
      <c r="P7" s="19">
        <f t="shared" si="1"/>
        <v>0.99777258046553063</v>
      </c>
      <c r="Q7" s="17"/>
      <c r="R7" s="17" t="s">
        <v>56</v>
      </c>
      <c r="S7" s="30"/>
      <c r="T7" s="30"/>
      <c r="U7" s="18">
        <v>8649000</v>
      </c>
      <c r="V7" s="19">
        <f>IFERROR($E7/U7,"")</f>
        <v>1.0358422939068099</v>
      </c>
      <c r="W7" s="20"/>
      <c r="X7" s="17"/>
      <c r="Y7" s="17"/>
      <c r="Z7" s="21" t="s">
        <v>57</v>
      </c>
      <c r="AA7" s="19" t="str">
        <f t="shared" si="3"/>
        <v/>
      </c>
      <c r="AB7" s="17"/>
      <c r="AC7" s="17" t="s">
        <v>58</v>
      </c>
      <c r="AD7" s="17" t="s">
        <v>59</v>
      </c>
      <c r="AE7" s="21">
        <v>8629000</v>
      </c>
      <c r="AF7" s="19">
        <f t="shared" si="4"/>
        <v>1.0382431336191911</v>
      </c>
      <c r="AG7" s="31"/>
      <c r="AH7" s="30" t="s">
        <v>47</v>
      </c>
      <c r="AI7" s="30" t="s">
        <v>48</v>
      </c>
      <c r="AJ7" s="16">
        <v>6999000</v>
      </c>
      <c r="AK7" s="19">
        <f t="shared" si="5"/>
        <v>1.2800400057151022</v>
      </c>
      <c r="AL7" s="20"/>
      <c r="AM7" s="17" t="s">
        <v>60</v>
      </c>
      <c r="AN7" s="17" t="s">
        <v>61</v>
      </c>
      <c r="AO7" s="21">
        <v>8879000</v>
      </c>
      <c r="AP7" s="19">
        <f t="shared" si="6"/>
        <v>1.009010023651312</v>
      </c>
      <c r="AQ7" s="20"/>
      <c r="AR7" s="17"/>
      <c r="AS7" s="17"/>
      <c r="AT7" s="21"/>
      <c r="AU7" s="19" t="str">
        <f t="shared" si="7"/>
        <v/>
      </c>
      <c r="AV7" s="20"/>
      <c r="AW7" s="17"/>
      <c r="AX7" s="17"/>
      <c r="AY7" s="21"/>
      <c r="AZ7" s="19" t="str">
        <f t="shared" si="8"/>
        <v/>
      </c>
      <c r="BA7" s="17"/>
      <c r="BB7" s="16" t="s">
        <v>62</v>
      </c>
      <c r="BC7" s="17">
        <v>460</v>
      </c>
      <c r="BD7" s="16">
        <v>7469000</v>
      </c>
      <c r="BE7" s="26">
        <f t="shared" si="9"/>
        <v>1.1994912304190655</v>
      </c>
    </row>
    <row r="8" spans="1:57" ht="74.5" customHeight="1" x14ac:dyDescent="0.35">
      <c r="A8" s="13" t="s">
        <v>63</v>
      </c>
      <c r="B8" s="14"/>
      <c r="C8" s="15" t="s">
        <v>64</v>
      </c>
      <c r="D8" s="15" t="s">
        <v>65</v>
      </c>
      <c r="E8" s="16">
        <v>20269000</v>
      </c>
      <c r="F8" s="16"/>
      <c r="G8" s="22"/>
      <c r="H8" s="22"/>
      <c r="I8" s="23"/>
      <c r="J8" s="23"/>
      <c r="K8" s="19" t="str">
        <f t="shared" si="0"/>
        <v/>
      </c>
      <c r="L8" s="24"/>
      <c r="M8" s="22"/>
      <c r="N8" s="22"/>
      <c r="O8" s="21"/>
      <c r="P8" s="19" t="str">
        <f t="shared" si="1"/>
        <v/>
      </c>
      <c r="Q8" s="17"/>
      <c r="R8" s="17" t="s">
        <v>66</v>
      </c>
      <c r="S8" s="30" t="s">
        <v>67</v>
      </c>
      <c r="T8" s="30"/>
      <c r="U8" s="18">
        <v>17279000</v>
      </c>
      <c r="V8" s="19">
        <f t="shared" si="2"/>
        <v>1.1730424214364257</v>
      </c>
      <c r="W8" s="20"/>
      <c r="X8" s="17"/>
      <c r="Y8" s="17"/>
      <c r="Z8" s="21" t="s">
        <v>57</v>
      </c>
      <c r="AA8" s="19" t="str">
        <f t="shared" si="3"/>
        <v/>
      </c>
      <c r="AB8" s="22"/>
      <c r="AC8" s="22"/>
      <c r="AD8" s="22"/>
      <c r="AE8" s="21"/>
      <c r="AF8" s="19" t="str">
        <f t="shared" si="4"/>
        <v/>
      </c>
      <c r="AG8" s="25"/>
      <c r="AH8" s="16"/>
      <c r="AI8" s="16"/>
      <c r="AJ8" s="21"/>
      <c r="AK8" s="19" t="str">
        <f t="shared" si="5"/>
        <v/>
      </c>
      <c r="AL8" s="24"/>
      <c r="AM8" s="22"/>
      <c r="AN8" s="22"/>
      <c r="AO8" s="21"/>
      <c r="AP8" s="19" t="str">
        <f t="shared" si="6"/>
        <v/>
      </c>
      <c r="AQ8" s="24"/>
      <c r="AR8" s="29" t="s">
        <v>68</v>
      </c>
      <c r="AS8" s="22" t="s">
        <v>69</v>
      </c>
      <c r="AT8" s="21">
        <v>12999000</v>
      </c>
      <c r="AU8" s="19">
        <f t="shared" si="7"/>
        <v>1.559273790291561</v>
      </c>
      <c r="AV8" s="24"/>
      <c r="AW8" s="22"/>
      <c r="AX8" s="22"/>
      <c r="AY8" s="21"/>
      <c r="AZ8" s="19" t="str">
        <f t="shared" si="8"/>
        <v/>
      </c>
      <c r="BA8" s="22"/>
      <c r="BB8" s="16"/>
      <c r="BC8" s="22"/>
      <c r="BD8" s="16"/>
      <c r="BE8" s="26" t="str">
        <f t="shared" si="9"/>
        <v/>
      </c>
    </row>
    <row r="9" spans="1:57" ht="74.5" customHeight="1" x14ac:dyDescent="0.35">
      <c r="A9" s="13" t="s">
        <v>63</v>
      </c>
      <c r="B9" s="14"/>
      <c r="C9" s="15" t="s">
        <v>70</v>
      </c>
      <c r="D9" s="15" t="s">
        <v>71</v>
      </c>
      <c r="E9" s="16">
        <v>11609000</v>
      </c>
      <c r="F9" s="16" t="e">
        <v>#VALUE!</v>
      </c>
      <c r="G9" s="17" t="s">
        <v>72</v>
      </c>
      <c r="H9" s="17" t="s">
        <v>73</v>
      </c>
      <c r="I9" s="23"/>
      <c r="J9" s="23">
        <v>14099000</v>
      </c>
      <c r="K9" s="19">
        <f t="shared" si="0"/>
        <v>0.82339172990992271</v>
      </c>
      <c r="L9" s="20" t="e">
        <v>#VALUE!</v>
      </c>
      <c r="M9" s="17" t="s">
        <v>74</v>
      </c>
      <c r="N9" s="17" t="s">
        <v>75</v>
      </c>
      <c r="O9" s="21">
        <v>12759000</v>
      </c>
      <c r="P9" s="19">
        <f t="shared" si="1"/>
        <v>0.90986754447840745</v>
      </c>
      <c r="Q9" s="17"/>
      <c r="R9" s="17" t="s">
        <v>76</v>
      </c>
      <c r="S9" s="30" t="s">
        <v>77</v>
      </c>
      <c r="T9" s="30"/>
      <c r="U9" s="18">
        <v>10149000</v>
      </c>
      <c r="V9" s="19">
        <f t="shared" si="2"/>
        <v>1.1438565375899103</v>
      </c>
      <c r="W9" s="24"/>
      <c r="X9" s="22"/>
      <c r="Y9" s="22"/>
      <c r="Z9" s="21" t="s">
        <v>57</v>
      </c>
      <c r="AA9" s="19" t="str">
        <f t="shared" si="3"/>
        <v/>
      </c>
      <c r="AB9" s="22"/>
      <c r="AC9" s="22"/>
      <c r="AD9" s="22"/>
      <c r="AE9" s="21"/>
      <c r="AF9" s="19" t="str">
        <f t="shared" si="4"/>
        <v/>
      </c>
      <c r="AG9" s="31"/>
      <c r="AH9" s="30"/>
      <c r="AI9" s="30"/>
      <c r="AJ9" s="21"/>
      <c r="AK9" s="19" t="str">
        <f t="shared" si="5"/>
        <v/>
      </c>
      <c r="AL9" s="24"/>
      <c r="AM9" s="22"/>
      <c r="AN9" s="22"/>
      <c r="AO9" s="21"/>
      <c r="AP9" s="19" t="str">
        <f t="shared" si="6"/>
        <v/>
      </c>
      <c r="AQ9" s="24"/>
      <c r="AR9" s="29" t="s">
        <v>78</v>
      </c>
      <c r="AS9" s="22" t="s">
        <v>79</v>
      </c>
      <c r="AT9" s="21">
        <v>8399000</v>
      </c>
      <c r="AU9" s="19">
        <f t="shared" si="7"/>
        <v>1.3821883557566377</v>
      </c>
      <c r="AV9" s="24"/>
      <c r="AW9" s="22"/>
      <c r="AX9" s="22"/>
      <c r="AY9" s="21"/>
      <c r="AZ9" s="19" t="str">
        <f t="shared" si="8"/>
        <v/>
      </c>
      <c r="BA9" s="22"/>
      <c r="BB9" s="16"/>
      <c r="BC9" s="22"/>
      <c r="BD9" s="16"/>
      <c r="BE9" s="26" t="str">
        <f t="shared" si="9"/>
        <v/>
      </c>
    </row>
    <row r="10" spans="1:57" ht="74.5" customHeight="1" x14ac:dyDescent="0.35">
      <c r="A10" s="13" t="s">
        <v>63</v>
      </c>
      <c r="B10" s="14"/>
      <c r="C10" s="15" t="s">
        <v>80</v>
      </c>
      <c r="D10" s="15" t="s">
        <v>71</v>
      </c>
      <c r="E10" s="16">
        <v>10149000</v>
      </c>
      <c r="F10" s="16"/>
      <c r="G10" s="22"/>
      <c r="H10" s="22"/>
      <c r="I10" s="23"/>
      <c r="J10" s="23"/>
      <c r="K10" s="19" t="str">
        <f t="shared" si="0"/>
        <v/>
      </c>
      <c r="L10" s="20" t="e">
        <v>#VALUE!</v>
      </c>
      <c r="M10" s="17" t="s">
        <v>81</v>
      </c>
      <c r="N10" s="17" t="s">
        <v>82</v>
      </c>
      <c r="O10" s="21">
        <v>11489000</v>
      </c>
      <c r="P10" s="19">
        <f t="shared" si="1"/>
        <v>0.88336669858125161</v>
      </c>
      <c r="Q10" s="17"/>
      <c r="R10" s="28" t="s">
        <v>83</v>
      </c>
      <c r="S10" s="30" t="s">
        <v>84</v>
      </c>
      <c r="T10" s="30"/>
      <c r="U10" s="18">
        <v>10149000</v>
      </c>
      <c r="V10" s="19">
        <f t="shared" si="2"/>
        <v>1</v>
      </c>
      <c r="W10" s="22" t="e">
        <v>#VALUE!</v>
      </c>
      <c r="X10" s="22" t="s">
        <v>85</v>
      </c>
      <c r="Y10" s="22" t="s">
        <v>86</v>
      </c>
      <c r="Z10" s="21">
        <v>10472332</v>
      </c>
      <c r="AA10" s="19">
        <f t="shared" si="3"/>
        <v>0.96912511940988888</v>
      </c>
      <c r="AB10" s="17"/>
      <c r="AC10" s="28" t="s">
        <v>87</v>
      </c>
      <c r="AD10" s="17" t="s">
        <v>88</v>
      </c>
      <c r="AE10" s="21">
        <v>10419000</v>
      </c>
      <c r="AF10" s="19">
        <f t="shared" si="4"/>
        <v>0.97408580477972939</v>
      </c>
      <c r="AG10" s="20"/>
      <c r="AH10" s="17" t="s">
        <v>89</v>
      </c>
      <c r="AI10" s="17" t="s">
        <v>90</v>
      </c>
      <c r="AJ10" s="21">
        <v>10499000</v>
      </c>
      <c r="AK10" s="19">
        <f t="shared" si="5"/>
        <v>0.9666634917611201</v>
      </c>
      <c r="AL10" s="24"/>
      <c r="AM10" s="22"/>
      <c r="AN10" s="22"/>
      <c r="AO10" s="21"/>
      <c r="AP10" s="19" t="str">
        <f t="shared" si="6"/>
        <v/>
      </c>
      <c r="AQ10" s="24"/>
      <c r="AR10" s="22"/>
      <c r="AS10" s="22"/>
      <c r="AT10" s="21"/>
      <c r="AU10" s="19" t="str">
        <f t="shared" si="7"/>
        <v/>
      </c>
      <c r="AV10" s="24"/>
      <c r="AW10" s="22"/>
      <c r="AX10" s="22"/>
      <c r="AY10" s="21"/>
      <c r="AZ10" s="19" t="str">
        <f t="shared" si="8"/>
        <v/>
      </c>
      <c r="BA10" s="22"/>
      <c r="BB10" s="16" t="s">
        <v>91</v>
      </c>
      <c r="BC10" s="22">
        <v>436</v>
      </c>
      <c r="BD10" s="16">
        <v>10519000</v>
      </c>
      <c r="BE10" s="26">
        <f t="shared" si="9"/>
        <v>0.96482555375986312</v>
      </c>
    </row>
    <row r="11" spans="1:57" ht="74.5" customHeight="1" x14ac:dyDescent="0.35">
      <c r="A11" s="13" t="s">
        <v>63</v>
      </c>
      <c r="B11" s="14"/>
      <c r="C11" s="15" t="s">
        <v>92</v>
      </c>
      <c r="D11" s="15" t="s">
        <v>93</v>
      </c>
      <c r="E11" s="16">
        <v>9229000</v>
      </c>
      <c r="F11" s="16"/>
      <c r="G11" s="22"/>
      <c r="H11" s="22"/>
      <c r="I11" s="23"/>
      <c r="J11" s="23"/>
      <c r="K11" s="19" t="str">
        <f t="shared" si="0"/>
        <v/>
      </c>
      <c r="L11" s="20"/>
      <c r="M11" s="17"/>
      <c r="N11" s="17"/>
      <c r="O11" s="21"/>
      <c r="P11" s="19" t="str">
        <f t="shared" si="1"/>
        <v/>
      </c>
      <c r="Q11" s="17"/>
      <c r="R11" s="17"/>
      <c r="S11" s="16"/>
      <c r="T11" s="16"/>
      <c r="U11" s="23"/>
      <c r="V11" s="19" t="str">
        <f t="shared" si="2"/>
        <v/>
      </c>
      <c r="W11" s="22" t="e">
        <v>#VALUE!</v>
      </c>
      <c r="X11" s="22" t="s">
        <v>85</v>
      </c>
      <c r="Y11" s="22" t="s">
        <v>94</v>
      </c>
      <c r="Z11" s="21">
        <v>10472332</v>
      </c>
      <c r="AA11" s="19">
        <f t="shared" si="3"/>
        <v>0.88127458143993143</v>
      </c>
      <c r="AB11" s="17"/>
      <c r="AC11" s="17" t="s">
        <v>95</v>
      </c>
      <c r="AD11" s="17" t="s">
        <v>88</v>
      </c>
      <c r="AE11" s="21">
        <v>9999000</v>
      </c>
      <c r="AF11" s="19">
        <f t="shared" si="4"/>
        <v>0.92299229922992299</v>
      </c>
      <c r="AG11" s="31" t="e">
        <v>#VALUE!</v>
      </c>
      <c r="AH11" s="30" t="s">
        <v>96</v>
      </c>
      <c r="AI11" s="30" t="s">
        <v>97</v>
      </c>
      <c r="AJ11" s="21">
        <v>7999000</v>
      </c>
      <c r="AK11" s="19">
        <f t="shared" si="5"/>
        <v>1.153769221152644</v>
      </c>
      <c r="AL11" s="20"/>
      <c r="AM11" s="17" t="s">
        <v>98</v>
      </c>
      <c r="AN11" s="17" t="s">
        <v>99</v>
      </c>
      <c r="AO11" s="21">
        <v>10609000</v>
      </c>
      <c r="AP11" s="19">
        <f t="shared" si="6"/>
        <v>0.86992176453954195</v>
      </c>
      <c r="AQ11" s="24"/>
      <c r="AR11" s="28"/>
      <c r="AS11" s="22"/>
      <c r="AT11" s="21"/>
      <c r="AU11" s="19" t="str">
        <f t="shared" si="7"/>
        <v/>
      </c>
      <c r="AV11" s="24"/>
      <c r="AW11" s="22"/>
      <c r="AX11" s="22"/>
      <c r="AY11" s="21"/>
      <c r="AZ11" s="19" t="str">
        <f t="shared" si="8"/>
        <v/>
      </c>
      <c r="BA11" s="22"/>
      <c r="BB11" s="16"/>
      <c r="BC11" s="22"/>
      <c r="BD11" s="16"/>
      <c r="BE11" s="26" t="str">
        <f t="shared" si="9"/>
        <v/>
      </c>
    </row>
    <row r="12" spans="1:57" ht="74.5" customHeight="1" x14ac:dyDescent="0.35">
      <c r="A12" s="13" t="s">
        <v>63</v>
      </c>
      <c r="B12" s="20"/>
      <c r="C12" s="17" t="s">
        <v>100</v>
      </c>
      <c r="D12" s="17" t="s">
        <v>71</v>
      </c>
      <c r="E12" s="16">
        <v>11959000</v>
      </c>
      <c r="F12" s="16"/>
      <c r="G12" s="22"/>
      <c r="H12" s="22"/>
      <c r="I12" s="23"/>
      <c r="J12" s="23"/>
      <c r="K12" s="19" t="str">
        <f t="shared" si="0"/>
        <v/>
      </c>
      <c r="L12" s="24"/>
      <c r="M12" s="22"/>
      <c r="N12" s="22"/>
      <c r="O12" s="21"/>
      <c r="P12" s="19" t="str">
        <f t="shared" si="1"/>
        <v/>
      </c>
      <c r="Q12" s="22"/>
      <c r="R12" s="22"/>
      <c r="S12" s="16"/>
      <c r="T12" s="16"/>
      <c r="U12" s="23"/>
      <c r="V12" s="19" t="str">
        <f t="shared" si="2"/>
        <v/>
      </c>
      <c r="W12" s="22"/>
      <c r="X12" s="22"/>
      <c r="Y12" s="22"/>
      <c r="Z12" s="21" t="s">
        <v>57</v>
      </c>
      <c r="AA12" s="19" t="str">
        <f t="shared" si="3"/>
        <v/>
      </c>
      <c r="AB12" s="22"/>
      <c r="AC12" s="22"/>
      <c r="AD12" s="22"/>
      <c r="AE12" s="21"/>
      <c r="AF12" s="19" t="str">
        <f t="shared" si="4"/>
        <v/>
      </c>
      <c r="AG12" s="31"/>
      <c r="AH12" s="30"/>
      <c r="AI12" s="30"/>
      <c r="AJ12" s="21"/>
      <c r="AK12" s="19" t="str">
        <f t="shared" si="5"/>
        <v/>
      </c>
      <c r="AL12" s="24"/>
      <c r="AM12" s="22"/>
      <c r="AN12" s="22"/>
      <c r="AO12" s="21"/>
      <c r="AP12" s="19" t="str">
        <f t="shared" si="6"/>
        <v/>
      </c>
      <c r="AQ12" s="20"/>
      <c r="AR12" s="17" t="s">
        <v>101</v>
      </c>
      <c r="AS12" s="17" t="s">
        <v>102</v>
      </c>
      <c r="AT12" s="21">
        <v>11779000</v>
      </c>
      <c r="AU12" s="19">
        <f t="shared" si="7"/>
        <v>1.0152814330588336</v>
      </c>
      <c r="AV12" s="24"/>
      <c r="AW12" s="22"/>
      <c r="AX12" s="22"/>
      <c r="AY12" s="21"/>
      <c r="AZ12" s="19" t="str">
        <f t="shared" si="8"/>
        <v/>
      </c>
      <c r="BA12" s="22"/>
      <c r="BB12" s="16"/>
      <c r="BC12" s="22"/>
      <c r="BD12" s="16"/>
      <c r="BE12" s="26" t="str">
        <f t="shared" si="9"/>
        <v/>
      </c>
    </row>
    <row r="13" spans="1:57" ht="74.5" customHeight="1" x14ac:dyDescent="0.35">
      <c r="A13" s="32" t="s">
        <v>103</v>
      </c>
      <c r="B13" s="33"/>
      <c r="C13" s="34" t="s">
        <v>104</v>
      </c>
      <c r="D13" s="35" t="s">
        <v>105</v>
      </c>
      <c r="E13" s="16">
        <v>5039000</v>
      </c>
      <c r="F13" s="36" t="e">
        <v>#VALUE!</v>
      </c>
      <c r="G13" s="35" t="s">
        <v>106</v>
      </c>
      <c r="H13" s="35">
        <v>255</v>
      </c>
      <c r="I13" s="37"/>
      <c r="J13" s="37">
        <v>6539000</v>
      </c>
      <c r="K13" s="38">
        <f t="shared" si="0"/>
        <v>0.77060712647193763</v>
      </c>
      <c r="L13" s="33" t="e">
        <v>#VALUE!</v>
      </c>
      <c r="M13" s="35" t="s">
        <v>107</v>
      </c>
      <c r="N13" s="35">
        <v>246</v>
      </c>
      <c r="O13" s="39">
        <v>5549000</v>
      </c>
      <c r="P13" s="40">
        <f t="shared" si="1"/>
        <v>0.90809154802667147</v>
      </c>
      <c r="Q13" s="35"/>
      <c r="R13" s="35" t="s">
        <v>108</v>
      </c>
      <c r="S13" s="36" t="s">
        <v>109</v>
      </c>
      <c r="T13" s="36"/>
      <c r="U13" s="37">
        <v>5119000</v>
      </c>
      <c r="V13" s="19">
        <f t="shared" si="2"/>
        <v>0.98437194764602465</v>
      </c>
      <c r="W13" s="35"/>
      <c r="X13" s="35"/>
      <c r="Y13" s="35"/>
      <c r="Z13" s="21" t="s">
        <v>57</v>
      </c>
      <c r="AA13" s="19" t="str">
        <f t="shared" si="3"/>
        <v/>
      </c>
      <c r="AB13" s="33"/>
      <c r="AC13" s="35"/>
      <c r="AD13" s="35"/>
      <c r="AE13" s="39"/>
      <c r="AF13" s="39" t="str">
        <f t="shared" si="4"/>
        <v/>
      </c>
      <c r="AG13" s="41"/>
      <c r="AH13" s="36"/>
      <c r="AI13" s="36"/>
      <c r="AJ13" s="39"/>
      <c r="AK13" s="39" t="str">
        <f t="shared" si="5"/>
        <v/>
      </c>
      <c r="AL13" s="33"/>
      <c r="AM13" s="35"/>
      <c r="AN13" s="35"/>
      <c r="AO13" s="39"/>
      <c r="AP13" s="39" t="str">
        <f t="shared" si="6"/>
        <v/>
      </c>
      <c r="AQ13" s="33"/>
      <c r="AR13" s="35"/>
      <c r="AS13" s="35"/>
      <c r="AT13" s="39"/>
      <c r="AU13" s="19" t="str">
        <f t="shared" si="7"/>
        <v/>
      </c>
      <c r="AV13" s="33"/>
      <c r="AW13" s="35"/>
      <c r="AX13" s="35"/>
      <c r="AY13" s="39"/>
      <c r="AZ13" s="39" t="str">
        <f t="shared" si="8"/>
        <v/>
      </c>
      <c r="BA13" s="35"/>
      <c r="BB13" s="36"/>
      <c r="BC13" s="35"/>
      <c r="BD13" s="36"/>
      <c r="BE13" s="26"/>
    </row>
    <row r="14" spans="1:57" ht="74.5" customHeight="1" x14ac:dyDescent="0.35">
      <c r="A14" s="32" t="s">
        <v>103</v>
      </c>
      <c r="B14" s="33"/>
      <c r="C14" s="34" t="s">
        <v>110</v>
      </c>
      <c r="D14" s="35" t="s">
        <v>111</v>
      </c>
      <c r="E14" s="16">
        <v>4329000</v>
      </c>
      <c r="F14" s="36" t="e">
        <v>#VALUE!</v>
      </c>
      <c r="G14" s="35" t="s">
        <v>112</v>
      </c>
      <c r="H14" s="35">
        <v>234</v>
      </c>
      <c r="I14" s="37"/>
      <c r="J14" s="37">
        <v>5569000</v>
      </c>
      <c r="K14" s="38">
        <f t="shared" si="0"/>
        <v>0.77733884000718256</v>
      </c>
      <c r="L14" s="33"/>
      <c r="M14" s="35"/>
      <c r="N14" s="35"/>
      <c r="O14" s="39"/>
      <c r="P14" s="40" t="str">
        <f t="shared" si="1"/>
        <v/>
      </c>
      <c r="Q14" s="35"/>
      <c r="R14" s="42" t="s">
        <v>113</v>
      </c>
      <c r="S14" s="36" t="s">
        <v>114</v>
      </c>
      <c r="T14" s="36"/>
      <c r="U14" s="37">
        <v>4749000</v>
      </c>
      <c r="V14" s="19">
        <f t="shared" si="2"/>
        <v>0.91156032849020852</v>
      </c>
      <c r="W14" s="35" t="e">
        <v>#VALUE!</v>
      </c>
      <c r="X14" s="35" t="s">
        <v>115</v>
      </c>
      <c r="Y14" s="35" t="s">
        <v>116</v>
      </c>
      <c r="Z14" s="21">
        <v>4935666</v>
      </c>
      <c r="AA14" s="19">
        <f t="shared" si="3"/>
        <v>0.87708528089218352</v>
      </c>
      <c r="AB14" s="33"/>
      <c r="AC14" s="35"/>
      <c r="AD14" s="35"/>
      <c r="AE14" s="39"/>
      <c r="AF14" s="39" t="str">
        <f t="shared" si="4"/>
        <v/>
      </c>
      <c r="AG14" s="41"/>
      <c r="AH14" s="36"/>
      <c r="AI14" s="36"/>
      <c r="AJ14" s="39"/>
      <c r="AK14" s="39" t="str">
        <f t="shared" si="5"/>
        <v/>
      </c>
      <c r="AL14" s="33"/>
      <c r="AM14" s="35"/>
      <c r="AN14" s="35"/>
      <c r="AO14" s="39"/>
      <c r="AP14" s="39" t="str">
        <f t="shared" si="6"/>
        <v/>
      </c>
      <c r="AQ14" s="33"/>
      <c r="AR14" s="35"/>
      <c r="AS14" s="35"/>
      <c r="AT14" s="39"/>
      <c r="AU14" s="19"/>
      <c r="AV14" s="33"/>
      <c r="AW14" s="35"/>
      <c r="AX14" s="35"/>
      <c r="AY14" s="39"/>
      <c r="AZ14" s="39" t="str">
        <f t="shared" si="8"/>
        <v/>
      </c>
      <c r="BA14" s="35"/>
      <c r="BB14" s="36"/>
      <c r="BC14" s="35"/>
      <c r="BD14" s="36"/>
      <c r="BE14" s="26"/>
    </row>
    <row r="15" spans="1:57" ht="74.5" customHeight="1" x14ac:dyDescent="0.35">
      <c r="A15" s="32" t="s">
        <v>103</v>
      </c>
      <c r="B15" s="33"/>
      <c r="C15" s="34" t="s">
        <v>117</v>
      </c>
      <c r="D15" s="35" t="s">
        <v>118</v>
      </c>
      <c r="E15" s="16">
        <v>0</v>
      </c>
      <c r="F15" s="36"/>
      <c r="G15" s="35"/>
      <c r="H15" s="35"/>
      <c r="I15" s="37"/>
      <c r="J15" s="37"/>
      <c r="K15" s="38"/>
      <c r="L15" s="33"/>
      <c r="M15" s="35"/>
      <c r="N15" s="35"/>
      <c r="O15" s="39"/>
      <c r="P15" s="40"/>
      <c r="Q15" s="36"/>
      <c r="R15" s="35" t="s">
        <v>119</v>
      </c>
      <c r="S15" s="36" t="s">
        <v>118</v>
      </c>
      <c r="T15" s="36"/>
      <c r="U15" s="37">
        <v>4489000</v>
      </c>
      <c r="V15" s="19">
        <f t="shared" si="2"/>
        <v>0</v>
      </c>
      <c r="W15" s="33"/>
      <c r="X15" s="35"/>
      <c r="Y15" s="35"/>
      <c r="Z15" s="21" t="s">
        <v>57</v>
      </c>
      <c r="AA15" s="19" t="str">
        <f t="shared" si="3"/>
        <v/>
      </c>
      <c r="AB15" s="33"/>
      <c r="AC15" s="35"/>
      <c r="AD15" s="35"/>
      <c r="AE15" s="39"/>
      <c r="AF15" s="39"/>
      <c r="AG15" s="41"/>
      <c r="AH15" s="36"/>
      <c r="AI15" s="36"/>
      <c r="AJ15" s="39"/>
      <c r="AK15" s="39"/>
      <c r="AL15" s="33"/>
      <c r="AM15" s="35"/>
      <c r="AN15" s="35"/>
      <c r="AO15" s="39"/>
      <c r="AP15" s="39"/>
      <c r="AQ15" s="33"/>
      <c r="AR15" s="35"/>
      <c r="AS15" s="35"/>
      <c r="AT15" s="39"/>
      <c r="AU15" s="39"/>
      <c r="AV15" s="33"/>
      <c r="AW15" s="35"/>
      <c r="AX15" s="35"/>
      <c r="AY15" s="39"/>
      <c r="AZ15" s="39"/>
      <c r="BA15" s="35"/>
      <c r="BB15" s="36"/>
      <c r="BC15" s="35"/>
      <c r="BD15" s="36"/>
      <c r="BE15" s="26" t="str">
        <f t="shared" si="9"/>
        <v/>
      </c>
    </row>
    <row r="16" spans="1:57" ht="74.5" customHeight="1" x14ac:dyDescent="0.35">
      <c r="A16" s="32" t="s">
        <v>103</v>
      </c>
      <c r="B16" s="33"/>
      <c r="C16" s="34" t="s">
        <v>120</v>
      </c>
      <c r="D16" s="35" t="s">
        <v>111</v>
      </c>
      <c r="E16" s="16">
        <v>3699000</v>
      </c>
      <c r="F16" s="36"/>
      <c r="G16" s="35"/>
      <c r="H16" s="35"/>
      <c r="I16" s="37"/>
      <c r="J16" s="37"/>
      <c r="K16" s="38"/>
      <c r="L16" s="33"/>
      <c r="M16" s="35"/>
      <c r="N16" s="35"/>
      <c r="O16" s="39"/>
      <c r="P16" s="40"/>
      <c r="Q16" s="35"/>
      <c r="R16" s="28" t="s">
        <v>121</v>
      </c>
      <c r="S16" s="36" t="s">
        <v>122</v>
      </c>
      <c r="T16" s="36"/>
      <c r="U16" s="37">
        <v>3029000</v>
      </c>
      <c r="V16" s="19">
        <f t="shared" si="2"/>
        <v>1.2211951138989765</v>
      </c>
      <c r="W16" s="33"/>
      <c r="X16" s="35"/>
      <c r="Y16" s="35"/>
      <c r="Z16" s="21" t="s">
        <v>57</v>
      </c>
      <c r="AA16" s="19"/>
      <c r="AB16" s="33"/>
      <c r="AC16" s="35"/>
      <c r="AD16" s="35"/>
      <c r="AE16" s="39"/>
      <c r="AF16" s="40"/>
      <c r="AG16" s="41"/>
      <c r="AH16" s="36"/>
      <c r="AI16" s="36"/>
      <c r="AJ16" s="39"/>
      <c r="AK16" s="39"/>
      <c r="AL16" s="33"/>
      <c r="AM16" s="35" t="s">
        <v>123</v>
      </c>
      <c r="AN16" s="35">
        <v>220</v>
      </c>
      <c r="AO16" s="39">
        <v>4429000</v>
      </c>
      <c r="AP16" s="40">
        <f>E16/AO16</f>
        <v>0.83517724091216983</v>
      </c>
      <c r="AQ16" s="33"/>
      <c r="AR16" s="35"/>
      <c r="AS16" s="35"/>
      <c r="AT16" s="39"/>
      <c r="AU16" s="39"/>
      <c r="AV16" s="33"/>
      <c r="AW16" s="35"/>
      <c r="AX16" s="35"/>
      <c r="AY16" s="39"/>
      <c r="AZ16" s="39"/>
      <c r="BA16" s="35"/>
      <c r="BB16" s="29"/>
      <c r="BC16" s="35"/>
      <c r="BD16" s="36"/>
      <c r="BE16" s="26"/>
    </row>
    <row r="17" spans="1:57" ht="74.5" customHeight="1" x14ac:dyDescent="0.35">
      <c r="A17" s="32" t="s">
        <v>103</v>
      </c>
      <c r="B17" s="33"/>
      <c r="C17" s="34" t="s">
        <v>124</v>
      </c>
      <c r="D17" s="35" t="s">
        <v>118</v>
      </c>
      <c r="E17" s="16">
        <v>0</v>
      </c>
      <c r="F17" s="36"/>
      <c r="G17" s="35"/>
      <c r="H17" s="35"/>
      <c r="I17" s="37"/>
      <c r="J17" s="37"/>
      <c r="K17" s="38"/>
      <c r="L17" s="33"/>
      <c r="M17" s="35"/>
      <c r="N17" s="35"/>
      <c r="O17" s="39"/>
      <c r="P17" s="40"/>
      <c r="Q17" s="35"/>
      <c r="R17" s="35" t="s">
        <v>125</v>
      </c>
      <c r="S17" s="36" t="s">
        <v>118</v>
      </c>
      <c r="T17" s="36"/>
      <c r="U17" s="37">
        <v>3599000</v>
      </c>
      <c r="V17" s="19">
        <f t="shared" si="2"/>
        <v>0</v>
      </c>
      <c r="W17" s="33"/>
      <c r="X17" s="35"/>
      <c r="Y17" s="35"/>
      <c r="Z17" s="21" t="s">
        <v>57</v>
      </c>
      <c r="AA17" s="19" t="str">
        <f t="shared" si="3"/>
        <v/>
      </c>
      <c r="AB17" s="33"/>
      <c r="AC17" s="35"/>
      <c r="AD17" s="35"/>
      <c r="AE17" s="39"/>
      <c r="AF17" s="39"/>
      <c r="AG17" s="41"/>
      <c r="AH17" s="36"/>
      <c r="AI17" s="36"/>
      <c r="AJ17" s="39"/>
      <c r="AK17" s="39"/>
      <c r="AL17" s="33"/>
      <c r="AM17" s="35"/>
      <c r="AN17" s="35"/>
      <c r="AO17" s="39"/>
      <c r="AP17" s="39"/>
      <c r="AQ17" s="33"/>
      <c r="AR17" s="35" t="s">
        <v>126</v>
      </c>
      <c r="AS17" s="35">
        <v>203</v>
      </c>
      <c r="AT17" s="39">
        <v>3049000</v>
      </c>
      <c r="AU17" s="39"/>
      <c r="AV17" s="33"/>
      <c r="AW17" s="35"/>
      <c r="AX17" s="35"/>
      <c r="AY17" s="39"/>
      <c r="AZ17" s="39"/>
      <c r="BA17" s="35"/>
      <c r="BB17" s="36"/>
      <c r="BC17" s="35"/>
      <c r="BD17" s="36"/>
      <c r="BE17" s="26" t="str">
        <f t="shared" si="9"/>
        <v/>
      </c>
    </row>
    <row r="18" spans="1:57" ht="74.5" customHeight="1" x14ac:dyDescent="0.35">
      <c r="A18" s="32" t="s">
        <v>103</v>
      </c>
      <c r="B18" s="33"/>
      <c r="C18" s="34" t="s">
        <v>127</v>
      </c>
      <c r="D18" s="35" t="s">
        <v>128</v>
      </c>
      <c r="E18" s="16">
        <v>0</v>
      </c>
      <c r="F18" s="36"/>
      <c r="G18" s="35"/>
      <c r="H18" s="35"/>
      <c r="I18" s="37"/>
      <c r="J18" s="37"/>
      <c r="K18" s="38"/>
      <c r="L18" s="33"/>
      <c r="M18" s="35"/>
      <c r="N18" s="35"/>
      <c r="O18" s="39"/>
      <c r="P18" s="40"/>
      <c r="Q18" s="35"/>
      <c r="R18" s="35" t="s">
        <v>129</v>
      </c>
      <c r="S18" s="36" t="s">
        <v>130</v>
      </c>
      <c r="T18" s="36"/>
      <c r="U18" s="37">
        <v>2999000</v>
      </c>
      <c r="V18" s="19">
        <f t="shared" si="2"/>
        <v>0</v>
      </c>
      <c r="W18" s="33"/>
      <c r="X18" s="35"/>
      <c r="Y18" s="35"/>
      <c r="Z18" s="21"/>
      <c r="AA18" s="19" t="str">
        <f t="shared" si="3"/>
        <v/>
      </c>
      <c r="AB18" s="33"/>
      <c r="AC18" s="35"/>
      <c r="AD18" s="35"/>
      <c r="AE18" s="39"/>
      <c r="AF18" s="39"/>
      <c r="AG18" s="41"/>
      <c r="AH18" s="36"/>
      <c r="AI18" s="36"/>
      <c r="AJ18" s="39"/>
      <c r="AK18" s="39"/>
      <c r="AL18" s="33"/>
      <c r="AM18" s="35"/>
      <c r="AN18" s="35"/>
      <c r="AO18" s="39"/>
      <c r="AP18" s="39"/>
      <c r="AQ18" s="33"/>
      <c r="AR18" s="35" t="s">
        <v>131</v>
      </c>
      <c r="AS18" s="35">
        <v>168</v>
      </c>
      <c r="AT18" s="39">
        <v>2799000</v>
      </c>
      <c r="AU18" s="39"/>
      <c r="AV18" s="33"/>
      <c r="AW18" s="35"/>
      <c r="AX18" s="35"/>
      <c r="AY18" s="39"/>
      <c r="AZ18" s="39"/>
      <c r="BA18" s="35"/>
      <c r="BB18" s="36" t="s">
        <v>132</v>
      </c>
      <c r="BC18" s="35">
        <v>176</v>
      </c>
      <c r="BD18" s="36">
        <v>3849000</v>
      </c>
      <c r="BE18" s="26">
        <f t="shared" si="9"/>
        <v>0</v>
      </c>
    </row>
    <row r="19" spans="1:57" ht="74.5" customHeight="1" x14ac:dyDescent="0.35">
      <c r="A19" s="32" t="s">
        <v>103</v>
      </c>
      <c r="B19" s="33"/>
      <c r="C19" s="34" t="s">
        <v>133</v>
      </c>
      <c r="D19" s="35" t="s">
        <v>134</v>
      </c>
      <c r="E19" s="16">
        <v>0</v>
      </c>
      <c r="F19" s="36"/>
      <c r="G19" s="35"/>
      <c r="H19" s="35"/>
      <c r="I19" s="37"/>
      <c r="J19" s="37"/>
      <c r="K19" s="38"/>
      <c r="L19" s="33"/>
      <c r="M19" s="35"/>
      <c r="N19" s="35"/>
      <c r="O19" s="39"/>
      <c r="P19" s="40"/>
      <c r="Q19" s="35"/>
      <c r="R19" s="35"/>
      <c r="S19" s="36"/>
      <c r="T19" s="36"/>
      <c r="U19" s="37"/>
      <c r="V19" s="19" t="str">
        <f t="shared" si="2"/>
        <v/>
      </c>
      <c r="W19" s="33"/>
      <c r="X19" s="35"/>
      <c r="Y19" s="35"/>
      <c r="Z19" s="21" t="s">
        <v>57</v>
      </c>
      <c r="AA19" s="19" t="str">
        <f t="shared" si="3"/>
        <v/>
      </c>
      <c r="AB19" s="33"/>
      <c r="AC19" s="35"/>
      <c r="AD19" s="35"/>
      <c r="AE19" s="39"/>
      <c r="AF19" s="39"/>
      <c r="AG19" s="41"/>
      <c r="AH19" s="36"/>
      <c r="AI19" s="36"/>
      <c r="AJ19" s="39"/>
      <c r="AK19" s="39"/>
      <c r="AL19" s="33"/>
      <c r="AM19" s="35"/>
      <c r="AN19" s="35"/>
      <c r="AO19" s="39"/>
      <c r="AP19" s="39"/>
      <c r="AQ19" s="33"/>
      <c r="AR19" s="35"/>
      <c r="AS19" s="35"/>
      <c r="AT19" s="39"/>
      <c r="AU19" s="39"/>
      <c r="AV19" s="33"/>
      <c r="AW19" s="35"/>
      <c r="AX19" s="35"/>
      <c r="AY19" s="39"/>
      <c r="AZ19" s="39"/>
      <c r="BA19" s="35"/>
      <c r="BB19" s="36" t="s">
        <v>135</v>
      </c>
      <c r="BC19" s="35">
        <v>181</v>
      </c>
      <c r="BD19" s="36">
        <v>2569000</v>
      </c>
      <c r="BE19" s="26">
        <f t="shared" si="9"/>
        <v>0</v>
      </c>
    </row>
    <row r="20" spans="1:57" ht="74.5" customHeight="1" x14ac:dyDescent="0.35">
      <c r="A20" s="32" t="s">
        <v>103</v>
      </c>
      <c r="B20" s="33"/>
      <c r="C20" s="34" t="s">
        <v>136</v>
      </c>
      <c r="D20" s="35" t="s">
        <v>137</v>
      </c>
      <c r="E20" s="16">
        <v>0</v>
      </c>
      <c r="F20" s="36"/>
      <c r="G20" s="35"/>
      <c r="H20" s="35"/>
      <c r="I20" s="37"/>
      <c r="J20" s="37"/>
      <c r="K20" s="38"/>
      <c r="L20" s="33"/>
      <c r="M20" s="35"/>
      <c r="N20" s="35"/>
      <c r="O20" s="39"/>
      <c r="P20" s="40"/>
      <c r="Q20" s="35"/>
      <c r="R20" s="35" t="s">
        <v>138</v>
      </c>
      <c r="S20" s="36" t="s">
        <v>139</v>
      </c>
      <c r="T20" s="36"/>
      <c r="U20" s="36">
        <v>2089000</v>
      </c>
      <c r="V20" s="19">
        <f t="shared" si="2"/>
        <v>0</v>
      </c>
      <c r="W20" s="33"/>
      <c r="X20" s="35"/>
      <c r="Y20" s="35"/>
      <c r="Z20" s="21" t="s">
        <v>57</v>
      </c>
      <c r="AA20" s="19" t="str">
        <f t="shared" si="3"/>
        <v/>
      </c>
      <c r="AB20" s="33"/>
      <c r="AC20" s="35"/>
      <c r="AD20" s="35"/>
      <c r="AE20" s="39"/>
      <c r="AF20" s="39"/>
      <c r="AG20" s="41"/>
      <c r="AH20" s="36"/>
      <c r="AI20" s="36"/>
      <c r="AJ20" s="39"/>
      <c r="AK20" s="39"/>
      <c r="AL20" s="33"/>
      <c r="AM20" s="35"/>
      <c r="AN20" s="35"/>
      <c r="AO20" s="39"/>
      <c r="AP20" s="39"/>
      <c r="AQ20" s="33"/>
      <c r="AR20" s="35"/>
      <c r="AS20" s="35"/>
      <c r="AT20" s="39"/>
      <c r="AU20" s="39"/>
      <c r="AV20" s="33"/>
      <c r="AW20" s="35"/>
      <c r="AX20" s="35"/>
      <c r="AY20" s="39"/>
      <c r="AZ20" s="39"/>
      <c r="BA20" s="35"/>
      <c r="BB20" s="36"/>
      <c r="BC20" s="35"/>
      <c r="BD20" s="36"/>
      <c r="BE20" s="26" t="str">
        <f t="shared" si="9"/>
        <v/>
      </c>
    </row>
  </sheetData>
  <mergeCells count="12">
    <mergeCell ref="AB2:AF2"/>
    <mergeCell ref="AG2:AK2"/>
    <mergeCell ref="AL2:AP2"/>
    <mergeCell ref="AQ2:AU2"/>
    <mergeCell ref="AV2:AZ2"/>
    <mergeCell ref="BA2:BE2"/>
    <mergeCell ref="A2:A3"/>
    <mergeCell ref="B2:E2"/>
    <mergeCell ref="F2:K2"/>
    <mergeCell ref="L2:P2"/>
    <mergeCell ref="Q2:V2"/>
    <mergeCell ref="W2:AA2"/>
  </mergeCells>
  <conditionalFormatting sqref="K4:K12 P4:P12 AF4:AF12 AK4:AK12 AP4:AP12 AZ4:AZ12 AU4:AU14 V4:V20 AA4:AA20">
    <cfRule type="cellIs" dxfId="2" priority="2" operator="lessThan">
      <formula>1</formula>
    </cfRule>
    <cfRule type="cellIs" dxfId="1" priority="3" operator="greaterThan">
      <formula>1</formula>
    </cfRule>
  </conditionalFormatting>
  <conditionalFormatting sqref="BE1:BE2 BE4:BE1048576">
    <cfRule type="cellIs" dxfId="0" priority="1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(Comp_HSI)</dc:creator>
  <cp:lastModifiedBy>HENDRY (Comp_HSI)</cp:lastModifiedBy>
  <dcterms:created xsi:type="dcterms:W3CDTF">2026-08-03T07:20:36Z</dcterms:created>
  <dcterms:modified xsi:type="dcterms:W3CDTF">2026-08-03T07:21:08Z</dcterms:modified>
</cp:coreProperties>
</file>